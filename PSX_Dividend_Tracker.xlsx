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vidend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595959"/>
      <sz val="9"/>
    </font>
    <font>
      <name val="Arial"/>
      <b val="1"/>
      <color rgb="001F3864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595959"/>
      <sz val="8.5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9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7" fillId="0" borderId="1" pivotButton="0" quotePrefix="0" xfId="0"/>
    <xf numFmtId="3" fontId="7" fillId="0" borderId="1" pivotButton="0" quotePrefix="0" xfId="0"/>
    <xf numFmtId="4" fontId="7" fillId="0" borderId="1" pivotButton="0" quotePrefix="0" xfId="0"/>
    <xf numFmtId="0" fontId="8" fillId="0" borderId="1" pivotButton="0" quotePrefix="0" xfId="0"/>
    <xf numFmtId="0" fontId="6" fillId="3" borderId="1" pivotButton="0" quotePrefix="0" xfId="0"/>
    <xf numFmtId="0" fontId="0" fillId="3" borderId="1" pivotButton="0" quotePrefix="0" xfId="0"/>
    <xf numFmtId="3" fontId="6" fillId="3" borderId="1" pivotButton="0" quotePrefix="0" xfId="0"/>
    <xf numFmtId="4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6" customWidth="1" min="3" max="3"/>
    <col width="12" customWidth="1" min="4" max="4"/>
    <col width="20" customWidth="1" min="5" max="5"/>
    <col width="20" customWidth="1" min="6" max="6"/>
    <col width="20" customWidth="1" min="7" max="7"/>
    <col width="16" customWidth="1" min="8" max="8"/>
    <col width="18" customWidth="1" min="9" max="9"/>
    <col width="18" customWidth="1" min="10" max="10"/>
    <col width="60" customWidth="1" min="11" max="11"/>
  </cols>
  <sheetData>
    <row r="1">
      <c r="A1" s="1" t="inlineStr">
        <is>
          <t>PSX Dividend Tracker</t>
        </is>
      </c>
    </row>
    <row r="2">
      <c r="A2" s="2" t="inlineStr">
        <is>
          <t>Last updated 2026-08-01T12:12:24. Source: PSX company payout announcements (board-meeting/announcement date). Quantity sourced from Cash Dividend 1 (1).xlsx. Gross/Tax/Net Cash Dividend are Quantity x Dividend YTD 2026 (see formulas in G:I; tax rate in B3).</t>
        </is>
      </c>
    </row>
    <row r="3">
      <c r="A3" s="3" t="inlineStr">
        <is>
          <t>Tax Rate:</t>
        </is>
      </c>
      <c r="B3" s="4" t="n">
        <v>0.15</v>
      </c>
    </row>
    <row r="4">
      <c r="A4" s="5" t="inlineStr">
        <is>
          <t>Ticker</t>
        </is>
      </c>
      <c r="B4" s="5" t="inlineStr">
        <is>
          <t>Company</t>
        </is>
      </c>
      <c r="C4" s="5" t="inlineStr">
        <is>
          <t>Sector</t>
        </is>
      </c>
      <c r="D4" s="5" t="inlineStr">
        <is>
          <t>Quantity</t>
        </is>
      </c>
      <c r="E4" s="5" t="inlineStr">
        <is>
          <t>Dividend This Month (PKR/share)</t>
        </is>
      </c>
      <c r="F4" s="5" t="inlineStr">
        <is>
          <t>Dividend YTD 2026 (PKR/share)</t>
        </is>
      </c>
      <c r="G4" s="5" t="inlineStr">
        <is>
          <t>Gross Cash Dividend (PKR)</t>
        </is>
      </c>
      <c r="H4" s="5" t="inlineStr">
        <is>
          <t>Tax Amount (15%) (PKR)</t>
        </is>
      </c>
      <c r="I4" s="5" t="inlineStr">
        <is>
          <t>Net Cash Dividend (PKR)</t>
        </is>
      </c>
      <c r="J4" s="5" t="inlineStr">
        <is>
          <t>Last Announcement Date</t>
        </is>
      </c>
      <c r="K4" s="5" t="inlineStr">
        <is>
          <t>Audit Log (Date: Amount/share)</t>
        </is>
      </c>
    </row>
    <row r="5">
      <c r="A5" s="6" t="inlineStr">
        <is>
          <t>MCB</t>
        </is>
      </c>
      <c r="B5" s="7" t="inlineStr">
        <is>
          <t>MCB Bank Limited</t>
        </is>
      </c>
      <c r="C5" s="7" t="inlineStr">
        <is>
          <t>Banks</t>
        </is>
      </c>
      <c r="D5" s="8" t="n">
        <v>362505</v>
      </c>
      <c r="E5" s="9" t="n">
        <v>0</v>
      </c>
      <c r="F5" s="9" t="n">
        <v>9</v>
      </c>
      <c r="G5" s="9">
        <f>IF(F5=0,"-",D5*F5)</f>
        <v/>
      </c>
      <c r="H5" s="9">
        <f>IF(F5=0,"-",G5*$B$3)</f>
        <v/>
      </c>
      <c r="I5" s="9">
        <f>IF(F5=0,"-",G5-H5)</f>
        <v/>
      </c>
      <c r="J5" s="7" t="inlineStr">
        <is>
          <t>2026-07-29</t>
        </is>
      </c>
      <c r="K5" s="10" t="inlineStr">
        <is>
          <t>2026-07-29: unconfirmed [scanned PDF (no extractable text) found via announcement tabs — could not confirm a dividend amount automatically]; 2026-04-23: Rs 9.0 [Q1 2026 Interim]; 2025-10-22: Rs 9.0; 2025-08-06: Rs 9.0; 2025-04-23: Rs 9.0; 2025-02-06: Rs 9.0</t>
        </is>
      </c>
    </row>
    <row r="6">
      <c r="A6" s="6" t="inlineStr">
        <is>
          <t>HBL</t>
        </is>
      </c>
      <c r="B6" s="7" t="inlineStr">
        <is>
          <t>Habib Bank Limited</t>
        </is>
      </c>
      <c r="C6" s="7" t="inlineStr">
        <is>
          <t>Banks</t>
        </is>
      </c>
      <c r="D6" s="8" t="n">
        <v>666420</v>
      </c>
      <c r="E6" s="9" t="n">
        <v>0</v>
      </c>
      <c r="F6" s="9" t="n">
        <v>6</v>
      </c>
      <c r="G6" s="9">
        <f>IF(F6=0,"-",D6*F6)</f>
        <v/>
      </c>
      <c r="H6" s="9">
        <f>IF(F6=0,"-",G6*$B$3)</f>
        <v/>
      </c>
      <c r="I6" s="9">
        <f>IF(F6=0,"-",G6-H6)</f>
        <v/>
      </c>
      <c r="J6" s="7" t="inlineStr">
        <is>
          <t>2026-07-23</t>
        </is>
      </c>
      <c r="K6" s="10" t="inlineStr">
        <is>
          <t>2026-07-23: unconfirmed [scanned PDF (no extractable text) found via announcement tabs — could not confirm a dividend amount automatically]; 2026-04-17: Rs 6.0 [Q1 2026 Interim]; 2026-02-18: Rs 6.0 [FY2025 Final (excluded — not 2026)]; 2025-10-23: Rs 5.0; 2025-07-31: Rs 4.5; 2025-04-25: Rs 4.5; 2025-02-19: Rs 4.25</t>
        </is>
      </c>
    </row>
    <row r="7">
      <c r="A7" s="6" t="inlineStr">
        <is>
          <t>BAFL</t>
        </is>
      </c>
      <c r="B7" s="7" t="inlineStr">
        <is>
          <t>Bank Alfalah Limited</t>
        </is>
      </c>
      <c r="C7" s="7" t="inlineStr">
        <is>
          <t>Banks</t>
        </is>
      </c>
      <c r="D7" s="8" t="n">
        <v>1311530</v>
      </c>
      <c r="E7" s="9" t="n">
        <v>0</v>
      </c>
      <c r="F7" s="9" t="n">
        <v>3</v>
      </c>
      <c r="G7" s="9">
        <f>IF(F7=0,"-",D7*F7)</f>
        <v/>
      </c>
      <c r="H7" s="9">
        <f>IF(F7=0,"-",G7*$B$3)</f>
        <v/>
      </c>
      <c r="I7" s="9">
        <f>IF(F7=0,"-",G7-H7)</f>
        <v/>
      </c>
      <c r="J7" s="7" t="inlineStr">
        <is>
          <t>2026-07-30</t>
        </is>
      </c>
      <c r="K7" s="10" t="inlineStr">
        <is>
          <t>2026-07-30: unconfirmed [scanned PDF (no extractable text) found via announcement tabs — could not confirm a dividend amount automatically]; 2026-07-21: unconfirmed [scanned PDF (no extractable text) found via announcement tabs — could not confirm a dividend amount automatically]; 2026-04-23: Rs 3.0 [Q1 2026 Interim]; 2026-02-16: Rs 3.0 [FY2025 Final (excluded — not 2026)]; 2025-10-23: Rs 2.5; 2025-07-31: Rs 2.5; 2025-04-17: Rs 2.5; 2025-01-30: Rs 2.5</t>
        </is>
      </c>
    </row>
    <row r="8">
      <c r="A8" s="6" t="inlineStr">
        <is>
          <t>BAHL</t>
        </is>
      </c>
      <c r="B8" s="7" t="inlineStr">
        <is>
          <t>Bank AL Habib Limited</t>
        </is>
      </c>
      <c r="C8" s="7" t="inlineStr">
        <is>
          <t>Banks</t>
        </is>
      </c>
      <c r="D8" s="8" t="n">
        <v>1600298</v>
      </c>
      <c r="E8" s="9" t="n">
        <v>0</v>
      </c>
      <c r="F8" s="9" t="n">
        <v>3.5</v>
      </c>
      <c r="G8" s="9">
        <f>IF(F8=0,"-",D8*F8)</f>
        <v/>
      </c>
      <c r="H8" s="9">
        <f>IF(F8=0,"-",G8*$B$3)</f>
        <v/>
      </c>
      <c r="I8" s="9">
        <f>IF(F8=0,"-",G8-H8)</f>
        <v/>
      </c>
      <c r="J8" s="7" t="inlineStr">
        <is>
          <t>2026-04-23</t>
        </is>
      </c>
      <c r="K8" s="10" t="inlineStr">
        <is>
          <t>2026-04-23: Rs 3.5 [Q1 2026 Interim]; 2026-02-11: Rs 4.5 [FY2025 Final (excluded — not 2026)]; 2025-10-23: Rs 3.5; 2025-08-27: Rs 3.5; 2025-04-24: Rs 3.5; 2025-01-30: Rs 6.5</t>
        </is>
      </c>
    </row>
    <row r="9">
      <c r="A9" s="6" t="inlineStr">
        <is>
          <t>MEBL</t>
        </is>
      </c>
      <c r="B9" s="7" t="inlineStr">
        <is>
          <t>Meezan Bank Limited</t>
        </is>
      </c>
      <c r="C9" s="7" t="inlineStr">
        <is>
          <t>Banks</t>
        </is>
      </c>
      <c r="D9" s="8" t="n">
        <v>80383</v>
      </c>
      <c r="E9" s="9" t="n">
        <v>0</v>
      </c>
      <c r="F9" s="9" t="n">
        <v>7.5</v>
      </c>
      <c r="G9" s="9">
        <f>IF(F9=0,"-",D9*F9)</f>
        <v/>
      </c>
      <c r="H9" s="9">
        <f>IF(F9=0,"-",G9*$B$3)</f>
        <v/>
      </c>
      <c r="I9" s="9">
        <f>IF(F9=0,"-",G9-H9)</f>
        <v/>
      </c>
      <c r="J9" s="7" t="inlineStr">
        <is>
          <t>2026-04-23</t>
        </is>
      </c>
      <c r="K9" s="10" t="inlineStr">
        <is>
          <t>2026-04-23: Rs 7.5 [Q1 2026 Interim]; 2026-02-09: Rs 7.0 [FY2025 Final (excluded — not 2026)]; 2025-10-27: Rs 7.0; 2025-08-13: Rs 7.0; 2025-04-21: Rs 7.0; 2025-02-13: Rs 7.0</t>
        </is>
      </c>
    </row>
    <row r="10">
      <c r="A10" s="6" t="inlineStr">
        <is>
          <t>HMB</t>
        </is>
      </c>
      <c r="B10" s="7" t="inlineStr">
        <is>
          <t>Habib Metropolitan Bank Limited</t>
        </is>
      </c>
      <c r="C10" s="7" t="inlineStr">
        <is>
          <t>Banks</t>
        </is>
      </c>
      <c r="D10" s="8" t="n">
        <v>625687</v>
      </c>
      <c r="E10" s="9" t="n">
        <v>0</v>
      </c>
      <c r="F10" s="9" t="n">
        <v>5</v>
      </c>
      <c r="G10" s="9">
        <f>IF(F10=0,"-",D10*F10)</f>
        <v/>
      </c>
      <c r="H10" s="9">
        <f>IF(F10=0,"-",G10*$B$3)</f>
        <v/>
      </c>
      <c r="I10" s="9">
        <f>IF(F10=0,"-",G10-H10)</f>
        <v/>
      </c>
      <c r="J10" s="7" t="inlineStr">
        <is>
          <t>2026-04-24</t>
        </is>
      </c>
      <c r="K10" s="10" t="inlineStr">
        <is>
          <t>2026-04-24: Rs 5.0 [Q1 2026 Interim]; 2026-02-13: Rs 0.0; 2025-10-27: Rs 2.5; 2025-08-13: Rs 2.5; 2025-04-23: Rs 2.5; 2025-02-20: Rs 4.5</t>
        </is>
      </c>
    </row>
    <row r="11">
      <c r="A11" s="6" t="inlineStr">
        <is>
          <t>UBL</t>
        </is>
      </c>
      <c r="B11" s="7" t="inlineStr">
        <is>
          <t>United Bank Limited</t>
        </is>
      </c>
      <c r="C11" s="7" t="inlineStr">
        <is>
          <t>Banks</t>
        </is>
      </c>
      <c r="D11" s="8" t="n">
        <v>176300</v>
      </c>
      <c r="E11" s="9" t="n">
        <v>0</v>
      </c>
      <c r="F11" s="9" t="n">
        <v>32</v>
      </c>
      <c r="G11" s="9">
        <f>IF(F11=0,"-",D11*F11)</f>
        <v/>
      </c>
      <c r="H11" s="9">
        <f>IF(F11=0,"-",G11*$B$3)</f>
        <v/>
      </c>
      <c r="I11" s="9">
        <f>IF(F11=0,"-",G11-H11)</f>
        <v/>
      </c>
      <c r="J11" s="7" t="inlineStr">
        <is>
          <t>2026-07-22</t>
        </is>
      </c>
      <c r="K11" s="10" t="inlineStr">
        <is>
          <t>2026-07-22: Rs 16.0 [Q2 2026 Interim]; 2026-04-15: Rs 16.0 [Q1 2026 Interim]; 2026-02-25: Rs 16.0 [FY2025 Final (excluded — not 2026)]; 2025-10-15: Rs 16.0; 2025-07-11: Rs 16.0; 2025-04-16: Rs 11.0; 2025-02-19: Rs 11.0</t>
        </is>
      </c>
    </row>
    <row r="12">
      <c r="A12" s="6" t="inlineStr">
        <is>
          <t>LUCK</t>
        </is>
      </c>
      <c r="B12" s="7" t="inlineStr">
        <is>
          <t>Lucky Cement Limited</t>
        </is>
      </c>
      <c r="C12" s="7" t="inlineStr">
        <is>
          <t>Cement</t>
        </is>
      </c>
      <c r="D12" s="8" t="n">
        <v>24000</v>
      </c>
      <c r="E12" s="9" t="n">
        <v>0</v>
      </c>
      <c r="F12" s="9" t="n">
        <v>0</v>
      </c>
      <c r="G12" s="9">
        <f>IF(F12=0,"-",D12*F12)</f>
        <v/>
      </c>
      <c r="H12" s="9">
        <f>IF(F12=0,"-",G12*$B$3)</f>
        <v/>
      </c>
      <c r="I12" s="9">
        <f>IF(F12=0,"-",G12-H12)</f>
        <v/>
      </c>
      <c r="J12" s="7" t="inlineStr">
        <is>
          <t>2026-07-31</t>
        </is>
      </c>
      <c r="K12" s="10" t="inlineStr">
        <is>
          <t>2026-07-31: unconfirmed [scanned PDF (no extractable text) found via announcement tabs — could not confirm a dividend amount automatically]; 2025-08-11: Rs 20.0</t>
        </is>
      </c>
    </row>
    <row r="13">
      <c r="A13" s="6" t="inlineStr">
        <is>
          <t>DGKC</t>
        </is>
      </c>
      <c r="B13" s="7" t="inlineStr">
        <is>
          <t>D.G. Khan Cement Company Limited</t>
        </is>
      </c>
      <c r="C13" s="7" t="inlineStr">
        <is>
          <t>Cement</t>
        </is>
      </c>
      <c r="D13" s="8" t="n">
        <v>201936</v>
      </c>
      <c r="E13" s="9" t="n">
        <v>0</v>
      </c>
      <c r="F13" s="9" t="n">
        <v>0</v>
      </c>
      <c r="G13" s="9">
        <f>IF(F13=0,"-",D13*F13)</f>
        <v/>
      </c>
      <c r="H13" s="9">
        <f>IF(F13=0,"-",G13*$B$3)</f>
        <v/>
      </c>
      <c r="I13" s="9">
        <f>IF(F13=0,"-",G13-H13)</f>
        <v/>
      </c>
      <c r="J13" s="7" t="inlineStr">
        <is>
          <t>2025-08-28</t>
        </is>
      </c>
      <c r="K13" s="10" t="inlineStr">
        <is>
          <t>2025-08-28: Rs 2.0</t>
        </is>
      </c>
    </row>
    <row r="14">
      <c r="A14" s="6" t="inlineStr">
        <is>
          <t>FCCL</t>
        </is>
      </c>
      <c r="B14" s="7" t="inlineStr">
        <is>
          <t>Fauji Cement Company Limited</t>
        </is>
      </c>
      <c r="C14" s="7" t="inlineStr">
        <is>
          <t>Cement</t>
        </is>
      </c>
      <c r="D14" s="8" t="n">
        <v>436625</v>
      </c>
      <c r="E14" s="9" t="n">
        <v>0</v>
      </c>
      <c r="F14" s="9" t="n">
        <v>0</v>
      </c>
      <c r="G14" s="9">
        <f>IF(F14=0,"-",D14*F14)</f>
        <v/>
      </c>
      <c r="H14" s="9">
        <f>IF(F14=0,"-",G14*$B$3)</f>
        <v/>
      </c>
      <c r="I14" s="9">
        <f>IF(F14=0,"-",G14-H14)</f>
        <v/>
      </c>
      <c r="J14" s="7" t="inlineStr">
        <is>
          <t>2025-08-11</t>
        </is>
      </c>
      <c r="K14" s="10" t="inlineStr">
        <is>
          <t>2025-08-11: Rs 1.25</t>
        </is>
      </c>
    </row>
    <row r="15">
      <c r="A15" s="6" t="inlineStr">
        <is>
          <t>MLCF</t>
        </is>
      </c>
      <c r="B15" s="7" t="inlineStr">
        <is>
          <t>Maple Leaf Cement Factory Limited</t>
        </is>
      </c>
      <c r="C15" s="7" t="inlineStr">
        <is>
          <t>Cement</t>
        </is>
      </c>
      <c r="D15" s="8" t="n">
        <v>110000</v>
      </c>
      <c r="E15" s="9" t="n">
        <v>0</v>
      </c>
      <c r="F15" s="9" t="n">
        <v>0</v>
      </c>
      <c r="G15" s="9">
        <f>IF(F15=0,"-",D15*F15)</f>
        <v/>
      </c>
      <c r="H15" s="9">
        <f>IF(F15=0,"-",G15*$B$3)</f>
        <v/>
      </c>
      <c r="I15" s="9">
        <f>IF(F15=0,"-",G15-H15)</f>
        <v/>
      </c>
      <c r="J15" s="7" t="inlineStr">
        <is>
          <t>2026-07-31</t>
        </is>
      </c>
      <c r="K15" s="10" t="inlineStr">
        <is>
          <t>2026-07-31: unconfirmed [scanned PDF (no extractable text) found via announcement tabs — could not confirm a dividend amount automatically]</t>
        </is>
      </c>
    </row>
    <row r="16">
      <c r="A16" s="6" t="inlineStr">
        <is>
          <t>FFC</t>
        </is>
      </c>
      <c r="B16" s="7" t="inlineStr">
        <is>
          <t>Fauji Fertilizer Company Limited</t>
        </is>
      </c>
      <c r="C16" s="7" t="inlineStr">
        <is>
          <t>Fertilizers</t>
        </is>
      </c>
      <c r="D16" s="8" t="n">
        <v>583091</v>
      </c>
      <c r="E16" s="9" t="n">
        <v>0</v>
      </c>
      <c r="F16" s="9" t="n">
        <v>8.5</v>
      </c>
      <c r="G16" s="9">
        <f>IF(F16=0,"-",D16*F16)</f>
        <v/>
      </c>
      <c r="H16" s="9">
        <f>IF(F16=0,"-",G16*$B$3)</f>
        <v/>
      </c>
      <c r="I16" s="9">
        <f>IF(F16=0,"-",G16-H16)</f>
        <v/>
      </c>
      <c r="J16" s="7" t="inlineStr">
        <is>
          <t>2026-07-29</t>
        </is>
      </c>
      <c r="K16" s="10" t="inlineStr">
        <is>
          <t>2026-07-29: unconfirmed [scanned PDF (no extractable text) found via announcement tabs — could not confirm a dividend amount automatically]; 2026-07-22: unconfirmed [scanned PDF (no extractable text) found via announcement tabs — could not confirm a dividend amount automatically]; 2026-04-29: Rs 8.5 [Q1 2026 Interim]; 2026-01-29: Rs 8.5 [FY2025 Final (excluded — not 2026)]; 2025-10-23: Rs 9.5; 2025-07-29: Rs 12.0; 2025-04-28: Rs 7.0; 2025-01-29: Rs 21.0</t>
        </is>
      </c>
    </row>
    <row r="17">
      <c r="A17" s="6" t="inlineStr">
        <is>
          <t>PPL</t>
        </is>
      </c>
      <c r="B17" s="7" t="inlineStr">
        <is>
          <t>Pakistan Petroleum Limited</t>
        </is>
      </c>
      <c r="C17" s="7" t="inlineStr">
        <is>
          <t>Oil/Gas</t>
        </is>
      </c>
      <c r="D17" s="8" t="n">
        <v>20000</v>
      </c>
      <c r="E17" s="9" t="n">
        <v>0</v>
      </c>
      <c r="F17" s="9" t="n">
        <v>0</v>
      </c>
      <c r="G17" s="9">
        <f>IF(F17=0,"-",D17*F17)</f>
        <v/>
      </c>
      <c r="H17" s="9">
        <f>IF(F17=0,"-",G17*$B$3)</f>
        <v/>
      </c>
      <c r="I17" s="9">
        <f>IF(F17=0,"-",G17-H17)</f>
        <v/>
      </c>
      <c r="J17" s="7" t="inlineStr">
        <is>
          <t>2026-04-29</t>
        </is>
      </c>
      <c r="K17" s="10" t="inlineStr">
        <is>
          <t>2026-04-29: Rs 2.0 [FY2025 Final (excluded — not 2026)]; 2026-02-13: Rs 2.0 [FY2025 Final (excluded — not 2026)]; 2025-10-29: Rs 2.0; 2025-09-19: Rs 2.5; 2025-04-29: Rs 1.0; 2025-02-28: Rs 2.0</t>
        </is>
      </c>
    </row>
    <row r="18">
      <c r="A18" s="6" t="inlineStr">
        <is>
          <t>OGDC</t>
        </is>
      </c>
      <c r="B18" s="7" t="inlineStr">
        <is>
          <t>Oil &amp; Gas Development Company Limited</t>
        </is>
      </c>
      <c r="C18" s="7" t="inlineStr">
        <is>
          <t>Oil/Gas</t>
        </is>
      </c>
      <c r="D18" s="8" t="n">
        <v>17000</v>
      </c>
      <c r="E18" s="9" t="n">
        <v>0</v>
      </c>
      <c r="F18" s="9" t="n">
        <v>3.25</v>
      </c>
      <c r="G18" s="9">
        <f>IF(F18=0,"-",D18*F18)</f>
        <v/>
      </c>
      <c r="H18" s="9">
        <f>IF(F18=0,"-",G18*$B$3)</f>
        <v/>
      </c>
      <c r="I18" s="9">
        <f>IF(F18=0,"-",G18-H18)</f>
        <v/>
      </c>
      <c r="J18" s="7" t="inlineStr">
        <is>
          <t>2026-04-29</t>
        </is>
      </c>
      <c r="K18" s="10" t="inlineStr">
        <is>
          <t>2026-04-29: Rs 3.25 [Q1 2026 Interim]; 2026-02-23: Rs 4.25 [FY2025 Final (excluded — not 2026)]; 2025-10-29: Rs 3.5; 2025-09-23: Rs 5.0; 2025-04-30: Rs 3.0; 2025-02-28: Rs 0.0</t>
        </is>
      </c>
    </row>
    <row r="19">
      <c r="A19" s="6" t="inlineStr">
        <is>
          <t>ALTN</t>
        </is>
      </c>
      <c r="B19" s="7" t="inlineStr">
        <is>
          <t>Altern Energy Limited</t>
        </is>
      </c>
      <c r="C19" s="7" t="inlineStr">
        <is>
          <t>Power</t>
        </is>
      </c>
      <c r="D19" s="8" t="n">
        <v>821</v>
      </c>
      <c r="E19" s="9" t="n">
        <v>0</v>
      </c>
      <c r="F19" s="9" t="n">
        <v>0</v>
      </c>
      <c r="G19" s="9">
        <f>IF(F19=0,"-",D19*F19)</f>
        <v/>
      </c>
      <c r="H19" s="9">
        <f>IF(F19=0,"-",G19*$B$3)</f>
        <v/>
      </c>
      <c r="I19" s="9">
        <f>IF(F19=0,"-",G19-H19)</f>
        <v/>
      </c>
      <c r="J19" s="7" t="inlineStr">
        <is>
          <t>2025-02-21</t>
        </is>
      </c>
      <c r="K19" s="10" t="inlineStr">
        <is>
          <t>2025-02-21: Rs 9.7</t>
        </is>
      </c>
    </row>
    <row r="20">
      <c r="A20" s="6" t="inlineStr">
        <is>
          <t>NCPL</t>
        </is>
      </c>
      <c r="B20" s="7" t="inlineStr">
        <is>
          <t>Nishat Chunian Power Limited</t>
        </is>
      </c>
      <c r="C20" s="7" t="inlineStr">
        <is>
          <t>Power</t>
        </is>
      </c>
      <c r="D20" s="8" t="n">
        <v>21358</v>
      </c>
      <c r="E20" s="9" t="n">
        <v>0</v>
      </c>
      <c r="F20" s="9" t="n">
        <v>1.5</v>
      </c>
      <c r="G20" s="9">
        <f>IF(F20=0,"-",D20*F20)</f>
        <v/>
      </c>
      <c r="H20" s="9">
        <f>IF(F20=0,"-",G20*$B$3)</f>
        <v/>
      </c>
      <c r="I20" s="9">
        <f>IF(F20=0,"-",G20-H20)</f>
        <v/>
      </c>
      <c r="J20" s="7" t="inlineStr">
        <is>
          <t>2026-04-28</t>
        </is>
      </c>
      <c r="K20" s="10" t="inlineStr">
        <is>
          <t>2026-04-28: Rs 1.5 [Q1 2026 Interim]; 2025-04-25: Rs 2.0; 2024-11-13: Rs 5.0</t>
        </is>
      </c>
    </row>
    <row r="21">
      <c r="A21" s="6" t="inlineStr">
        <is>
          <t>NPL</t>
        </is>
      </c>
      <c r="B21" s="7" t="inlineStr">
        <is>
          <t>Nishat Power Limited</t>
        </is>
      </c>
      <c r="C21" s="7" t="inlineStr">
        <is>
          <t>Power</t>
        </is>
      </c>
      <c r="D21" s="8" t="n">
        <v>30909</v>
      </c>
      <c r="E21" s="9" t="n">
        <v>0</v>
      </c>
      <c r="F21" s="9" t="n">
        <v>1.5</v>
      </c>
      <c r="G21" s="9">
        <f>IF(F21=0,"-",D21*F21)</f>
        <v/>
      </c>
      <c r="H21" s="9">
        <f>IF(F21=0,"-",G21*$B$3)</f>
        <v/>
      </c>
      <c r="I21" s="9">
        <f>IF(F21=0,"-",G21-H21)</f>
        <v/>
      </c>
      <c r="J21" s="7" t="inlineStr">
        <is>
          <t>2026-04-28</t>
        </is>
      </c>
      <c r="K21" s="10" t="inlineStr">
        <is>
          <t>2026-04-28: Rs 1.5 [Q1 2026 Interim]; 2025-04-25: Rs 2.0; 2025-02-27: Rs 2.0</t>
        </is>
      </c>
    </row>
    <row r="22">
      <c r="A22" s="6" t="inlineStr">
        <is>
          <t>ASL</t>
        </is>
      </c>
      <c r="B22" s="7" t="inlineStr">
        <is>
          <t>Aisha Steel Mills Limited</t>
        </is>
      </c>
      <c r="C22" s="7" t="inlineStr">
        <is>
          <t>Steel Sector</t>
        </is>
      </c>
      <c r="D22" s="8" t="n">
        <v>166000</v>
      </c>
      <c r="E22" s="9" t="n">
        <v>0</v>
      </c>
      <c r="F22" s="9" t="n">
        <v>0</v>
      </c>
      <c r="G22" s="9">
        <f>IF(F22=0,"-",D22*F22)</f>
        <v/>
      </c>
      <c r="H22" s="9">
        <f>IF(F22=0,"-",G22*$B$3)</f>
        <v/>
      </c>
      <c r="I22" s="9">
        <f>IF(F22=0,"-",G22-H22)</f>
        <v/>
      </c>
      <c r="J22" s="7" t="inlineStr"/>
      <c r="K22" s="10" t="inlineStr"/>
    </row>
    <row r="23">
      <c r="A23" s="6" t="inlineStr">
        <is>
          <t>AGIL</t>
        </is>
      </c>
      <c r="B23" s="7" t="inlineStr">
        <is>
          <t>Agriauto Industries Limited</t>
        </is>
      </c>
      <c r="C23" s="7" t="inlineStr">
        <is>
          <t>Others</t>
        </is>
      </c>
      <c r="D23" s="8" t="n">
        <v>138635</v>
      </c>
      <c r="E23" s="9" t="n">
        <v>0</v>
      </c>
      <c r="F23" s="9" t="n">
        <v>0</v>
      </c>
      <c r="G23" s="9">
        <f>IF(F23=0,"-",D23*F23)</f>
        <v/>
      </c>
      <c r="H23" s="9">
        <f>IF(F23=0,"-",G23*$B$3)</f>
        <v/>
      </c>
      <c r="I23" s="9">
        <f>IF(F23=0,"-",G23-H23)</f>
        <v/>
      </c>
      <c r="J23" s="7" t="inlineStr">
        <is>
          <t>2025-08-28</t>
        </is>
      </c>
      <c r="K23" s="10" t="inlineStr">
        <is>
          <t>2025-08-28: Rs 3.5</t>
        </is>
      </c>
    </row>
    <row r="24">
      <c r="A24" s="6" t="inlineStr">
        <is>
          <t>HINOON</t>
        </is>
      </c>
      <c r="B24" s="7" t="inlineStr">
        <is>
          <t>Highnoon Laboratories Limited</t>
        </is>
      </c>
      <c r="C24" s="7" t="inlineStr">
        <is>
          <t>Pharma</t>
        </is>
      </c>
      <c r="D24" s="8" t="n">
        <v>7877</v>
      </c>
      <c r="E24" s="9" t="n">
        <v>0</v>
      </c>
      <c r="F24" s="9" t="n">
        <v>0</v>
      </c>
      <c r="G24" s="9">
        <f>IF(F24=0,"-",D24*F24)</f>
        <v/>
      </c>
      <c r="H24" s="9">
        <f>IF(F24=0,"-",G24*$B$3)</f>
        <v/>
      </c>
      <c r="I24" s="9">
        <f>IF(F24=0,"-",G24-H24)</f>
        <v/>
      </c>
      <c r="J24" s="7" t="inlineStr">
        <is>
          <t>2026-04-07</t>
        </is>
      </c>
      <c r="K24" s="10" t="inlineStr">
        <is>
          <t>2026-04-07: Rs 50.0 [FY2025 Final (excluded — not 2026)]; 2025-03-26: Rs 40.0</t>
        </is>
      </c>
    </row>
    <row r="25">
      <c r="A25" s="6" t="inlineStr">
        <is>
          <t>AGP</t>
        </is>
      </c>
      <c r="B25" s="7" t="inlineStr">
        <is>
          <t>AGP Limited</t>
        </is>
      </c>
      <c r="C25" s="7" t="inlineStr">
        <is>
          <t>Pharma</t>
        </is>
      </c>
      <c r="D25" s="8" t="n">
        <v>39088</v>
      </c>
      <c r="E25" s="9" t="n">
        <v>0</v>
      </c>
      <c r="F25" s="9" t="n">
        <v>0</v>
      </c>
      <c r="G25" s="9">
        <f>IF(F25=0,"-",D25*F25)</f>
        <v/>
      </c>
      <c r="H25" s="9">
        <f>IF(F25=0,"-",G25*$B$3)</f>
        <v/>
      </c>
      <c r="I25" s="9">
        <f>IF(F25=0,"-",G25-H25)</f>
        <v/>
      </c>
      <c r="J25" s="7" t="inlineStr">
        <is>
          <t>2026-03-24</t>
        </is>
      </c>
      <c r="K25" s="10" t="inlineStr">
        <is>
          <t>2026-03-24: Rs 6.0 [FY2025 Final (excluded — not 2026)]; 2025-08-27: Rs 2.0; 2025-02-28: Rs 4.0</t>
        </is>
      </c>
    </row>
    <row r="26">
      <c r="A26" s="6" t="inlineStr">
        <is>
          <t>SYS</t>
        </is>
      </c>
      <c r="B26" s="7" t="inlineStr">
        <is>
          <t>Systems Limited</t>
        </is>
      </c>
      <c r="C26" s="7" t="inlineStr">
        <is>
          <t>Tech</t>
        </is>
      </c>
      <c r="D26" s="8" t="n">
        <v>101000</v>
      </c>
      <c r="E26" s="9" t="n">
        <v>0</v>
      </c>
      <c r="F26" s="9" t="n">
        <v>0</v>
      </c>
      <c r="G26" s="9">
        <f>IF(F26=0,"-",D26*F26)</f>
        <v/>
      </c>
      <c r="H26" s="9">
        <f>IF(F26=0,"-",G26*$B$3)</f>
        <v/>
      </c>
      <c r="I26" s="9">
        <f>IF(F26=0,"-",G26-H26)</f>
        <v/>
      </c>
      <c r="J26" s="7" t="inlineStr">
        <is>
          <t>2026-04-07</t>
        </is>
      </c>
      <c r="K26" s="10" t="inlineStr">
        <is>
          <t>2026-04-07: Rs 10.0 [FY2025 Final (excluded — not 2026)]; 2025-03-24: Rs 6.0</t>
        </is>
      </c>
    </row>
    <row r="27">
      <c r="A27" s="6" t="inlineStr">
        <is>
          <t>AICL</t>
        </is>
      </c>
      <c r="B27" s="7" t="inlineStr">
        <is>
          <t>Adamjee Insurance Company Limited</t>
        </is>
      </c>
      <c r="C27" s="7" t="inlineStr">
        <is>
          <t>Insurance</t>
        </is>
      </c>
      <c r="D27" s="8" t="n">
        <v>5000</v>
      </c>
      <c r="E27" s="9" t="n">
        <v>0</v>
      </c>
      <c r="F27" s="9" t="n">
        <v>0</v>
      </c>
      <c r="G27" s="9">
        <f>IF(F27=0,"-",D27*F27)</f>
        <v/>
      </c>
      <c r="H27" s="9">
        <f>IF(F27=0,"-",G27*$B$3)</f>
        <v/>
      </c>
      <c r="I27" s="9">
        <f>IF(F27=0,"-",G27-H27)</f>
        <v/>
      </c>
      <c r="J27" s="7" t="inlineStr">
        <is>
          <t>2026-02-18</t>
        </is>
      </c>
      <c r="K27" s="10" t="inlineStr">
        <is>
          <t>2026-02-18: Rs 2.0 [FY2025 Final (excluded — not 2026)]; 2025-08-28: Rs 2.0; 2025-03-04: Rs 1.5</t>
        </is>
      </c>
    </row>
    <row r="28">
      <c r="A28" s="6" t="inlineStr">
        <is>
          <t>PTL</t>
        </is>
      </c>
      <c r="B28" s="7" t="inlineStr">
        <is>
          <t>Panther Tyres Ltd.</t>
        </is>
      </c>
      <c r="C28" s="7" t="inlineStr">
        <is>
          <t>Automobile Parts &amp; Accessories</t>
        </is>
      </c>
      <c r="D28" s="8" t="n">
        <v>204610</v>
      </c>
      <c r="E28" s="9" t="n">
        <v>0</v>
      </c>
      <c r="F28" s="9" t="n">
        <v>0</v>
      </c>
      <c r="G28" s="9">
        <f>IF(F28=0,"-",D28*F28)</f>
        <v/>
      </c>
      <c r="H28" s="9">
        <f>IF(F28=0,"-",G28*$B$3)</f>
        <v/>
      </c>
      <c r="I28" s="9">
        <f>IF(F28=0,"-",G28-H28)</f>
        <v/>
      </c>
      <c r="J28" s="7" t="inlineStr">
        <is>
          <t>2026-03-05</t>
        </is>
      </c>
      <c r="K28" s="10" t="inlineStr">
        <is>
          <t>2026-03-05: Rs 2.0 [NEEDS REVIEW: no matching announcement PDF found]; 2025-09-29: Rs 0.0</t>
        </is>
      </c>
    </row>
    <row r="29">
      <c r="A29" s="6" t="inlineStr">
        <is>
          <t>BYCO</t>
        </is>
      </c>
      <c r="B29" s="7" t="inlineStr">
        <is>
          <t>Byco Petroleum Pakistan Limited</t>
        </is>
      </c>
      <c r="C29" s="7" t="inlineStr">
        <is>
          <t>Refinery</t>
        </is>
      </c>
      <c r="D29" s="8" t="n">
        <v>100</v>
      </c>
      <c r="E29" s="9" t="n">
        <v>0</v>
      </c>
      <c r="F29" s="9" t="n">
        <v>0</v>
      </c>
      <c r="G29" s="9">
        <f>IF(F29=0,"-",D29*F29)</f>
        <v/>
      </c>
      <c r="H29" s="9">
        <f>IF(F29=0,"-",G29*$B$3)</f>
        <v/>
      </c>
      <c r="I29" s="9">
        <f>IF(F29=0,"-",G29-H29)</f>
        <v/>
      </c>
      <c r="J29" s="7" t="inlineStr"/>
      <c r="K29" s="10" t="inlineStr"/>
    </row>
    <row r="30">
      <c r="A30" s="6" t="inlineStr">
        <is>
          <t>CPPL</t>
        </is>
      </c>
      <c r="B30" s="7" t="inlineStr">
        <is>
          <t>Cherat Packaging Limited</t>
        </is>
      </c>
      <c r="C30" s="7" t="inlineStr">
        <is>
          <t>Paper &amp; Board</t>
        </is>
      </c>
      <c r="D30" s="8" t="n">
        <v>23655</v>
      </c>
      <c r="E30" s="9" t="n">
        <v>0</v>
      </c>
      <c r="F30" s="9" t="n">
        <v>0</v>
      </c>
      <c r="G30" s="9">
        <f>IF(F30=0,"-",D30*F30)</f>
        <v/>
      </c>
      <c r="H30" s="9">
        <f>IF(F30=0,"-",G30*$B$3)</f>
        <v/>
      </c>
      <c r="I30" s="9">
        <f>IF(F30=0,"-",G30-H30)</f>
        <v/>
      </c>
      <c r="J30" s="7" t="inlineStr">
        <is>
          <t>2026-02-19</t>
        </is>
      </c>
      <c r="K30" s="10" t="inlineStr">
        <is>
          <t>2026-02-19: Rs 1.0 [FY2025 Final (excluded — not 2026)]; 2025-08-20: Rs 2.0; 2025-02-20: Rs 1.0</t>
        </is>
      </c>
    </row>
    <row r="31">
      <c r="A31" s="6" t="inlineStr">
        <is>
          <t>FDIBL</t>
        </is>
      </c>
      <c r="B31" s="7" t="inlineStr">
        <is>
          <t>First Dawood Investment Bank Limited</t>
        </is>
      </c>
      <c r="C31" s="7" t="inlineStr">
        <is>
          <t>Investment Banks / Companies</t>
        </is>
      </c>
      <c r="D31" s="8" t="n">
        <v>500</v>
      </c>
      <c r="E31" s="9" t="n">
        <v>0</v>
      </c>
      <c r="F31" s="9" t="n">
        <v>0</v>
      </c>
      <c r="G31" s="9">
        <f>IF(F31=0,"-",D31*F31)</f>
        <v/>
      </c>
      <c r="H31" s="9">
        <f>IF(F31=0,"-",G31*$B$3)</f>
        <v/>
      </c>
      <c r="I31" s="9">
        <f>IF(F31=0,"-",G31-H31)</f>
        <v/>
      </c>
      <c r="J31" s="7" t="inlineStr"/>
      <c r="K31" s="10" t="inlineStr"/>
    </row>
    <row r="32">
      <c r="A32" s="6" t="inlineStr">
        <is>
          <t>SRVI</t>
        </is>
      </c>
      <c r="B32" s="7" t="inlineStr">
        <is>
          <t>Service Industries Limited</t>
        </is>
      </c>
      <c r="C32" s="7" t="inlineStr">
        <is>
          <t>Leather &amp; Tanneries</t>
        </is>
      </c>
      <c r="D32" s="8" t="n">
        <v>23062</v>
      </c>
      <c r="E32" s="9" t="n">
        <v>0</v>
      </c>
      <c r="F32" s="9" t="n">
        <v>0</v>
      </c>
      <c r="G32" s="9">
        <f>IF(F32=0,"-",D32*F32)</f>
        <v/>
      </c>
      <c r="H32" s="9">
        <f>IF(F32=0,"-",G32*$B$3)</f>
        <v/>
      </c>
      <c r="I32" s="9">
        <f>IF(F32=0,"-",G32-H32)</f>
        <v/>
      </c>
      <c r="J32" s="7" t="inlineStr">
        <is>
          <t>2026-03-18</t>
        </is>
      </c>
      <c r="K32" s="10" t="inlineStr">
        <is>
          <t>2026-03-18: Rs 17.5 [FY2025 Final (excluded — not 2026)]; 2025-03-26: Rs 15.0</t>
        </is>
      </c>
    </row>
    <row r="33">
      <c r="A33" s="6" t="inlineStr">
        <is>
          <t>PKGS</t>
        </is>
      </c>
      <c r="B33" s="7" t="inlineStr">
        <is>
          <t>Packages Limited</t>
        </is>
      </c>
      <c r="C33" s="7" t="inlineStr">
        <is>
          <t>Paper &amp; Board</t>
        </is>
      </c>
      <c r="D33" s="8" t="n">
        <v>100</v>
      </c>
      <c r="E33" s="9" t="n">
        <v>0</v>
      </c>
      <c r="F33" s="9" t="n">
        <v>0</v>
      </c>
      <c r="G33" s="9">
        <f>IF(F33=0,"-",D33*F33)</f>
        <v/>
      </c>
      <c r="H33" s="9">
        <f>IF(F33=0,"-",G33*$B$3)</f>
        <v/>
      </c>
      <c r="I33" s="9">
        <f>IF(F33=0,"-",G33-H33)</f>
        <v/>
      </c>
      <c r="J33" s="7" t="inlineStr">
        <is>
          <t>2026-03-26</t>
        </is>
      </c>
      <c r="K33" s="10" t="inlineStr">
        <is>
          <t>2026-03-26: Rs 16.0 [FY2025 Final (excluded — not 2026)]; 2025-03-26: Rs 15.0</t>
        </is>
      </c>
    </row>
    <row r="34">
      <c r="A34" s="6" t="inlineStr">
        <is>
          <t>AKBL</t>
        </is>
      </c>
      <c r="B34" s="7" t="inlineStr">
        <is>
          <t>Askari Bank Limited</t>
        </is>
      </c>
      <c r="C34" s="7" t="inlineStr">
        <is>
          <t>Banks</t>
        </is>
      </c>
      <c r="D34" s="8" t="n">
        <v>449000</v>
      </c>
      <c r="E34" s="9" t="n">
        <v>0</v>
      </c>
      <c r="F34" s="9" t="n">
        <v>2</v>
      </c>
      <c r="G34" s="9">
        <f>IF(F34=0,"-",D34*F34)</f>
        <v/>
      </c>
      <c r="H34" s="9">
        <f>IF(F34=0,"-",G34*$B$3)</f>
        <v/>
      </c>
      <c r="I34" s="9">
        <f>IF(F34=0,"-",G34-H34)</f>
        <v/>
      </c>
      <c r="J34" s="7" t="inlineStr">
        <is>
          <t>2026-07-31</t>
        </is>
      </c>
      <c r="K34" s="10" t="inlineStr">
        <is>
          <t>2026-07-31: unconfirmed [scanned PDF (no extractable text) found via announcement tabs — could not confirm a dividend amount automatically]; 2026-07-22: unconfirmed [scanned PDF (no extractable text) found via announcement tabs — could not confirm a dividend amount automatically]; 2026-04-27: Rs 2.0 [Q1 2026 Interim]; 2026-02-09: Rs 0.0; 2025-10-29: Rs 0.0; 2025-08-21: Rs 2.0; 2025-02-24: Rs 3.0</t>
        </is>
      </c>
    </row>
    <row r="35">
      <c r="A35" s="6" t="inlineStr">
        <is>
          <t>MUREB</t>
        </is>
      </c>
      <c r="B35" s="7" t="inlineStr">
        <is>
          <t>Murree Brewery Company Limited</t>
        </is>
      </c>
      <c r="C35" s="7" t="inlineStr">
        <is>
          <t>Food &amp; Personal Care Products</t>
        </is>
      </c>
      <c r="D35" s="8" t="n">
        <v>33295</v>
      </c>
      <c r="E35" s="9" t="n">
        <v>0</v>
      </c>
      <c r="F35" s="9" t="n">
        <v>0</v>
      </c>
      <c r="G35" s="9">
        <f>IF(F35=0,"-",D35*F35)</f>
        <v/>
      </c>
      <c r="H35" s="9">
        <f>IF(F35=0,"-",G35*$B$3)</f>
        <v/>
      </c>
      <c r="I35" s="9">
        <f>IF(F35=0,"-",G35-H35)</f>
        <v/>
      </c>
      <c r="J35" s="7" t="inlineStr">
        <is>
          <t>2026-02-23</t>
        </is>
      </c>
      <c r="K35" s="10" t="inlineStr">
        <is>
          <t>2026-02-23: Rs 12.0 [FY2025 Final (excluded — not 2026)]; 2025-10-27: Rs 5.0; 2025-09-19: Rs 14.5; 2025-04-25: Rs 10.0; 2025-02-21: Rs 12.0</t>
        </is>
      </c>
    </row>
    <row r="36">
      <c r="A36" s="6" t="inlineStr">
        <is>
          <t>GGL</t>
        </is>
      </c>
      <c r="B36" s="7" t="inlineStr">
        <is>
          <t>Ghani Global Holdings Limited</t>
        </is>
      </c>
      <c r="C36" s="7" t="inlineStr">
        <is>
          <t>Miscellaneous</t>
        </is>
      </c>
      <c r="D36" s="8" t="n">
        <v>250000</v>
      </c>
      <c r="E36" s="9" t="n">
        <v>0</v>
      </c>
      <c r="F36" s="9" t="n">
        <v>0</v>
      </c>
      <c r="G36" s="9">
        <f>IF(F36=0,"-",D36*F36)</f>
        <v/>
      </c>
      <c r="H36" s="9">
        <f>IF(F36=0,"-",G36*$B$3)</f>
        <v/>
      </c>
      <c r="I36" s="9">
        <f>IF(F36=0,"-",G36-H36)</f>
        <v/>
      </c>
      <c r="J36" s="7" t="inlineStr"/>
      <c r="K36" s="10" t="inlineStr"/>
    </row>
    <row r="37">
      <c r="A37" s="6" t="inlineStr">
        <is>
          <t>TPL</t>
        </is>
      </c>
      <c r="B37" s="7" t="inlineStr">
        <is>
          <t>TPL Corp Limited</t>
        </is>
      </c>
      <c r="C37" s="7" t="inlineStr">
        <is>
          <t>Technology &amp; Communication</t>
        </is>
      </c>
      <c r="D37" s="8" t="n">
        <v>14000</v>
      </c>
      <c r="E37" s="9" t="n">
        <v>0</v>
      </c>
      <c r="F37" s="9" t="n">
        <v>0</v>
      </c>
      <c r="G37" s="9">
        <f>IF(F37=0,"-",D37*F37)</f>
        <v/>
      </c>
      <c r="H37" s="9">
        <f>IF(F37=0,"-",G37*$B$3)</f>
        <v/>
      </c>
      <c r="I37" s="9">
        <f>IF(F37=0,"-",G37-H37)</f>
        <v/>
      </c>
      <c r="J37" s="7" t="inlineStr"/>
      <c r="K37" s="10" t="inlineStr"/>
    </row>
    <row r="38">
      <c r="A38" s="6" t="inlineStr">
        <is>
          <t>BFAGRO</t>
        </is>
      </c>
      <c r="B38" s="7" t="inlineStr">
        <is>
          <t>Barkat Frisian Agro Limited</t>
        </is>
      </c>
      <c r="C38" s="7" t="inlineStr">
        <is>
          <t>Food &amp; Personal Care Products</t>
        </is>
      </c>
      <c r="D38" s="8" t="n">
        <v>17857</v>
      </c>
      <c r="E38" s="9" t="n">
        <v>0</v>
      </c>
      <c r="F38" s="9" t="n">
        <v>0</v>
      </c>
      <c r="G38" s="9">
        <f>IF(F38=0,"-",D38*F38)</f>
        <v/>
      </c>
      <c r="H38" s="9">
        <f>IF(F38=0,"-",G38*$B$3)</f>
        <v/>
      </c>
      <c r="I38" s="9">
        <f>IF(F38=0,"-",G38-H38)</f>
        <v/>
      </c>
      <c r="J38" s="7" t="inlineStr"/>
      <c r="K38" s="10" t="inlineStr"/>
    </row>
    <row r="39">
      <c r="A39" s="6" t="inlineStr">
        <is>
          <t>ATLH</t>
        </is>
      </c>
      <c r="B39" s="7" t="inlineStr">
        <is>
          <t>Atlas Honda Limited</t>
        </is>
      </c>
      <c r="C39" s="7" t="inlineStr">
        <is>
          <t>Automobile Assembler</t>
        </is>
      </c>
      <c r="D39" s="8" t="n">
        <v>12125</v>
      </c>
      <c r="E39" s="9" t="n">
        <v>0</v>
      </c>
      <c r="F39" s="9" t="n">
        <v>56</v>
      </c>
      <c r="G39" s="9">
        <f>IF(F39=0,"-",D39*F39)</f>
        <v/>
      </c>
      <c r="H39" s="9">
        <f>IF(F39=0,"-",G39*$B$3)</f>
        <v/>
      </c>
      <c r="I39" s="9">
        <f>IF(F39=0,"-",G39-H39)</f>
        <v/>
      </c>
      <c r="J39" s="7" t="inlineStr">
        <is>
          <t>2026-07-30</t>
        </is>
      </c>
      <c r="K39" s="10" t="inlineStr">
        <is>
          <t>2026-07-30: unconfirmed [scanned PDF (no extractable text) found via announcement tabs — could not confirm a dividend amount automatically]; 2026-07-23: unconfirmed [scanned PDF (no extractable text) found via announcement tabs — could not confirm a dividend amount automatically]; 2026-04-30: Rs 56.0 [FY2026 Final]; 2025-10-30: Rs 46.0</t>
        </is>
      </c>
    </row>
    <row r="40">
      <c r="A40" s="6" t="inlineStr">
        <is>
          <t>PIOC</t>
        </is>
      </c>
      <c r="B40" s="7" t="inlineStr">
        <is>
          <t>Pioneer Cement Limited</t>
        </is>
      </c>
      <c r="C40" s="7" t="inlineStr">
        <is>
          <t>Cement</t>
        </is>
      </c>
      <c r="D40" s="8" t="n">
        <v>123472</v>
      </c>
      <c r="E40" s="9" t="n">
        <v>0</v>
      </c>
      <c r="F40" s="9" t="n">
        <v>0</v>
      </c>
      <c r="G40" s="9">
        <f>IF(F40=0,"-",D40*F40)</f>
        <v/>
      </c>
      <c r="H40" s="9">
        <f>IF(F40=0,"-",G40*$B$3)</f>
        <v/>
      </c>
      <c r="I40" s="9">
        <f>IF(F40=0,"-",G40-H40)</f>
        <v/>
      </c>
      <c r="J40" s="7" t="inlineStr">
        <is>
          <t>2026-07-29</t>
        </is>
      </c>
      <c r="K40" s="10" t="inlineStr">
        <is>
          <t>2026-07-29: unconfirmed [scanned PDF (no extractable text) found via announcement tabs — could not confirm a dividend amount automatically]; 2025-09-29: Rs 5.0; 2025-02-28: Rs 5.0</t>
        </is>
      </c>
    </row>
    <row r="41">
      <c r="A41" s="6" t="inlineStr">
        <is>
          <t>SRR</t>
        </is>
      </c>
      <c r="B41" s="7" t="inlineStr">
        <is>
          <t>Signature Residency Reit</t>
        </is>
      </c>
      <c r="C41" s="7" t="inlineStr">
        <is>
          <t>Real Estate Investment Trust</t>
        </is>
      </c>
      <c r="D41" s="8" t="n">
        <v>19829</v>
      </c>
      <c r="E41" s="9" t="n">
        <v>0</v>
      </c>
      <c r="F41" s="9" t="n">
        <v>0</v>
      </c>
      <c r="G41" s="9">
        <f>IF(F41=0,"-",D41*F41)</f>
        <v/>
      </c>
      <c r="H41" s="9">
        <f>IF(F41=0,"-",G41*$B$3)</f>
        <v/>
      </c>
      <c r="I41" s="9">
        <f>IF(F41=0,"-",G41-H41)</f>
        <v/>
      </c>
      <c r="J41" s="7" t="inlineStr"/>
      <c r="K41" s="10" t="inlineStr"/>
    </row>
    <row r="42">
      <c r="A42" s="11" t="inlineStr">
        <is>
          <t>Total</t>
        </is>
      </c>
      <c r="B42" s="12" t="n"/>
      <c r="C42" s="12" t="n"/>
      <c r="D42" s="13">
        <f>SUM(D5:D41)</f>
        <v/>
      </c>
      <c r="E42" s="12" t="n"/>
      <c r="F42" s="12" t="n"/>
      <c r="G42" s="14">
        <f>SUM(G5:G41)</f>
        <v/>
      </c>
      <c r="H42" s="14">
        <f>SUM(H5:H41)</f>
        <v/>
      </c>
      <c r="I42" s="14">
        <f>SUM(I5:I41)</f>
        <v/>
      </c>
      <c r="J42" s="12" t="n"/>
      <c r="K42" s="1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2026-08-01T12:12:24Z</dcterms:created>
  <dcterms:modified xsi:type="dcterms:W3CDTF">2026-08-01T12:12:24Z</dcterms:modified>
</cp:coreProperties>
</file>