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28800" windowHeight="12435"/>
  </bookViews>
  <sheets>
    <sheet name="Sheet1 (2)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G46" i="2"/>
  <c r="D45" i="2"/>
  <c r="E45" i="2" s="1"/>
  <c r="F45" i="2" s="1"/>
  <c r="H45" i="2" s="1"/>
  <c r="H37" i="2"/>
  <c r="H36" i="2"/>
  <c r="D35" i="2"/>
  <c r="D34" i="2"/>
  <c r="D33" i="2"/>
  <c r="D32" i="2"/>
  <c r="D31" i="2"/>
  <c r="E31" i="2" s="1"/>
  <c r="F31" i="2" s="1"/>
  <c r="H31" i="2" s="1"/>
  <c r="H30" i="2"/>
  <c r="E29" i="2"/>
  <c r="D29" i="2"/>
  <c r="F29" i="2" s="1"/>
  <c r="H29" i="2" s="1"/>
  <c r="E28" i="2"/>
  <c r="D28" i="2"/>
  <c r="F28" i="2" s="1"/>
  <c r="H28" i="2" s="1"/>
  <c r="E27" i="2"/>
  <c r="D27" i="2"/>
  <c r="F27" i="2" s="1"/>
  <c r="H27" i="2" s="1"/>
  <c r="E26" i="2"/>
  <c r="D26" i="2"/>
  <c r="F26" i="2" s="1"/>
  <c r="H26" i="2" s="1"/>
  <c r="E25" i="2"/>
  <c r="D25" i="2"/>
  <c r="F25" i="2" s="1"/>
  <c r="H25" i="2" s="1"/>
  <c r="H24" i="2"/>
  <c r="D23" i="2"/>
  <c r="H22" i="2"/>
  <c r="H21" i="2"/>
  <c r="D20" i="2"/>
  <c r="E20" i="2" s="1"/>
  <c r="F20" i="2" s="1"/>
  <c r="H20" i="2" s="1"/>
  <c r="D19" i="2"/>
  <c r="E19" i="2" s="1"/>
  <c r="F19" i="2" s="1"/>
  <c r="H19" i="2" s="1"/>
  <c r="D18" i="2"/>
  <c r="E18" i="2" s="1"/>
  <c r="F18" i="2" s="1"/>
  <c r="H18" i="2" s="1"/>
  <c r="F17" i="2"/>
  <c r="H17" i="2" s="1"/>
  <c r="D16" i="2"/>
  <c r="D15" i="2"/>
  <c r="D14" i="2"/>
  <c r="B14" i="2"/>
  <c r="E13" i="2"/>
  <c r="D13" i="2"/>
  <c r="F13" i="2" s="1"/>
  <c r="H13" i="2" s="1"/>
  <c r="E12" i="2"/>
  <c r="D12" i="2"/>
  <c r="F12" i="2" s="1"/>
  <c r="H12" i="2" s="1"/>
  <c r="E11" i="2"/>
  <c r="D11" i="2"/>
  <c r="F11" i="2" s="1"/>
  <c r="E10" i="2"/>
  <c r="D10" i="2"/>
  <c r="F10" i="2" s="1"/>
  <c r="H10" i="2" s="1"/>
  <c r="B9" i="2"/>
  <c r="D9" i="2" s="1"/>
  <c r="F23" i="2" l="1"/>
  <c r="H23" i="2" s="1"/>
  <c r="D46" i="2"/>
  <c r="E9" i="2"/>
  <c r="F9" i="2" s="1"/>
  <c r="E14" i="2"/>
  <c r="F14" i="2" s="1"/>
  <c r="H14" i="2" s="1"/>
  <c r="E15" i="2"/>
  <c r="F15" i="2" s="1"/>
  <c r="H15" i="2" s="1"/>
  <c r="E16" i="2"/>
  <c r="F16" i="2" s="1"/>
  <c r="H16" i="2" s="1"/>
  <c r="E23" i="2"/>
  <c r="E34" i="2"/>
  <c r="F34" i="2" s="1"/>
  <c r="H34" i="2" s="1"/>
  <c r="E35" i="2"/>
  <c r="F35" i="2" s="1"/>
  <c r="H35" i="2" s="1"/>
  <c r="B46" i="2"/>
  <c r="L4" i="1"/>
  <c r="L6" i="1"/>
  <c r="H6" i="1"/>
  <c r="I6" i="1" s="1"/>
  <c r="J6" i="1" s="1"/>
  <c r="H4" i="1"/>
  <c r="I4" i="1" s="1"/>
  <c r="J4" i="1" s="1"/>
  <c r="G6" i="1"/>
  <c r="G4" i="1"/>
  <c r="H9" i="2" l="1"/>
  <c r="H46" i="2" s="1"/>
  <c r="F46" i="2"/>
  <c r="E46" i="2"/>
</calcChain>
</file>

<file path=xl/sharedStrings.xml><?xml version="1.0" encoding="utf-8"?>
<sst xmlns="http://schemas.openxmlformats.org/spreadsheetml/2006/main" count="90" uniqueCount="83">
  <si>
    <t>SLM Shares working</t>
  </si>
  <si>
    <t xml:space="preserve">AATML </t>
  </si>
  <si>
    <t>Broker Name</t>
  </si>
  <si>
    <t>Quantity</t>
  </si>
  <si>
    <t>IPO Rate</t>
  </si>
  <si>
    <t xml:space="preserve">Shares alloted </t>
  </si>
  <si>
    <t>Shares alloted Amount</t>
  </si>
  <si>
    <t>E.Capital</t>
  </si>
  <si>
    <t>Iqbal Ismail</t>
  </si>
  <si>
    <t>Mr. Naveed Ellahi</t>
  </si>
  <si>
    <t xml:space="preserve">Topline </t>
  </si>
  <si>
    <t>Mr. Nadeem Ellahi</t>
  </si>
  <si>
    <t>Diff</t>
  </si>
  <si>
    <t>Qty of bid</t>
  </si>
  <si>
    <t xml:space="preserve">Investor Name </t>
  </si>
  <si>
    <t xml:space="preserve">Director Portfolio </t>
  </si>
  <si>
    <t>BID Amount</t>
  </si>
  <si>
    <t xml:space="preserve"> Amount Short Received </t>
  </si>
  <si>
    <t>Actual Refund  Amt</t>
  </si>
  <si>
    <t>To be Refund Amt</t>
  </si>
  <si>
    <t>Status</t>
  </si>
  <si>
    <t xml:space="preserve">Received </t>
  </si>
  <si>
    <t>0-15</t>
  </si>
  <si>
    <t>Cash dividend Table/Estimated</t>
  </si>
  <si>
    <t>Mar-Quarter-2026</t>
  </si>
  <si>
    <t>Update</t>
  </si>
  <si>
    <t>12.06.2026</t>
  </si>
  <si>
    <t>ALI ASGHAR TEXTILE MILLS LTD/Ellahi Capital</t>
  </si>
  <si>
    <t>Company Name</t>
  </si>
  <si>
    <t>Dividend Annuonce in PKR</t>
  </si>
  <si>
    <t>Gross Cash dividend</t>
  </si>
  <si>
    <t>Tax amount 15%</t>
  </si>
  <si>
    <t xml:space="preserve">Net cash dividend </t>
  </si>
  <si>
    <t>DPS Received</t>
  </si>
  <si>
    <t>DPS Receivable</t>
  </si>
  <si>
    <t>Book Closed Date</t>
  </si>
  <si>
    <t>Credit Expected date</t>
  </si>
  <si>
    <t>X Date</t>
  </si>
  <si>
    <t>UBL</t>
  </si>
  <si>
    <t>27.04.2026</t>
  </si>
  <si>
    <t>HBL</t>
  </si>
  <si>
    <t>30.04.2026</t>
  </si>
  <si>
    <t>BAHL</t>
  </si>
  <si>
    <t>07.05.2026</t>
  </si>
  <si>
    <t>BAFL</t>
  </si>
  <si>
    <t>HMB</t>
  </si>
  <si>
    <t>05.05.2026</t>
  </si>
  <si>
    <t>MCB</t>
  </si>
  <si>
    <t>08.05.2026</t>
  </si>
  <si>
    <t>ALTN</t>
  </si>
  <si>
    <t>AGIL</t>
  </si>
  <si>
    <t>AICL</t>
  </si>
  <si>
    <t>FFC</t>
  </si>
  <si>
    <t>14.05.2026</t>
  </si>
  <si>
    <t>FCCL</t>
  </si>
  <si>
    <t>PANTHER</t>
  </si>
  <si>
    <t>Aissha Steel</t>
  </si>
  <si>
    <t>Byco</t>
  </si>
  <si>
    <t>CPPL</t>
  </si>
  <si>
    <t>FDIBL</t>
  </si>
  <si>
    <t>SRVI</t>
  </si>
  <si>
    <t>NPL</t>
  </si>
  <si>
    <t>12.05.2026</t>
  </si>
  <si>
    <t>PACKAGE</t>
  </si>
  <si>
    <t>AKBL</t>
  </si>
  <si>
    <t>MEBL</t>
  </si>
  <si>
    <t>HINOON LAB</t>
  </si>
  <si>
    <t>MUREB</t>
  </si>
  <si>
    <t>GGL</t>
  </si>
  <si>
    <t>MAPLE</t>
  </si>
  <si>
    <t>TPL</t>
  </si>
  <si>
    <t>AGP</t>
  </si>
  <si>
    <t>BFAGRO</t>
  </si>
  <si>
    <t>DGKC</t>
  </si>
  <si>
    <t>SYS</t>
  </si>
  <si>
    <t>Luck</t>
  </si>
  <si>
    <t>ATLH</t>
  </si>
  <si>
    <t>PIOC</t>
  </si>
  <si>
    <t>SRR</t>
  </si>
  <si>
    <t>OGDC</t>
  </si>
  <si>
    <t>PPL</t>
  </si>
  <si>
    <t>NCPL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</si>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</sst>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43" fontId="0" fillId="0" borderId="0" xfId="1" applyFont="1"/>
    <xf numFmtId="164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43" fontId="3" fillId="2" borderId="0" xfId="0" applyNumberFormat="1" applyFont="1" applyFill="1"/>
    <xf numFmtId="43" fontId="0" fillId="2" borderId="0" xfId="0" applyNumberFormat="1" applyFill="1"/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17" fontId="6" fillId="2" borderId="2" xfId="0" applyNumberFormat="1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2" borderId="4" xfId="0" applyNumberFormat="1" applyFont="1" applyFill="1" applyBorder="1" applyAlignment="1">
      <alignment horizontal="center"/>
    </xf>
    <xf numFmtId="0" fontId="7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9" fillId="3" borderId="6" xfId="0" applyFont="1" applyFill="1" applyBorder="1" applyAlignment="1"/>
    <xf numFmtId="0" fontId="7" fillId="3" borderId="0" xfId="0" applyFont="1" applyFill="1"/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164" fontId="5" fillId="2" borderId="1" xfId="1" applyNumberFormat="1" applyFont="1" applyFill="1" applyBorder="1" applyAlignment="1">
      <alignment wrapText="1"/>
    </xf>
    <xf numFmtId="43" fontId="5" fillId="2" borderId="1" xfId="1" applyFont="1" applyFill="1" applyBorder="1" applyAlignment="1">
      <alignment horizontal="center"/>
    </xf>
    <xf numFmtId="164" fontId="5" fillId="2" borderId="1" xfId="1" applyNumberFormat="1" applyFont="1" applyFill="1" applyBorder="1"/>
    <xf numFmtId="43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17" fontId="10" fillId="2" borderId="1" xfId="1" applyNumberFormat="1" applyFont="1" applyFill="1" applyBorder="1" applyAlignment="1">
      <alignment wrapText="1"/>
    </xf>
    <xf numFmtId="0" fontId="7" fillId="3" borderId="1" xfId="0" applyFont="1" applyFill="1" applyBorder="1"/>
    <xf numFmtId="164" fontId="7" fillId="3" borderId="1" xfId="1" applyNumberFormat="1" applyFont="1" applyFill="1" applyBorder="1"/>
    <xf numFmtId="43" fontId="7" fillId="3" borderId="1" xfId="1" applyFont="1" applyFill="1" applyBorder="1" applyAlignment="1">
      <alignment horizontal="center"/>
    </xf>
    <xf numFmtId="43" fontId="7" fillId="3" borderId="1" xfId="0" applyNumberFormat="1" applyFont="1" applyFill="1" applyBorder="1"/>
    <xf numFmtId="164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2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0" fontId="7" fillId="3" borderId="8" xfId="0" applyFont="1" applyFill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164" fontId="7" fillId="4" borderId="1" xfId="1" applyNumberFormat="1" applyFont="1" applyFill="1" applyBorder="1"/>
    <xf numFmtId="0" fontId="7" fillId="2" borderId="1" xfId="0" applyFont="1" applyFill="1" applyBorder="1" applyAlignment="1">
      <alignment horizontal="center"/>
    </xf>
    <xf numFmtId="164" fontId="7" fillId="3" borderId="8" xfId="1" applyNumberFormat="1" applyFont="1" applyFill="1" applyBorder="1" applyAlignment="1">
      <alignment horizontal="center"/>
    </xf>
    <xf numFmtId="0" fontId="7" fillId="2" borderId="1" xfId="0" applyFont="1" applyFill="1" applyBorder="1"/>
    <xf numFmtId="164" fontId="7" fillId="2" borderId="1" xfId="1" applyNumberFormat="1" applyFont="1" applyFill="1" applyBorder="1"/>
    <xf numFmtId="43" fontId="7" fillId="2" borderId="1" xfId="1" applyFont="1" applyFill="1" applyBorder="1" applyAlignment="1">
      <alignment horizontal="center"/>
    </xf>
    <xf numFmtId="43" fontId="7" fillId="2" borderId="1" xfId="0" applyNumberFormat="1" applyFont="1" applyFill="1" applyBorder="1"/>
    <xf numFmtId="17" fontId="7" fillId="4" borderId="1" xfId="1" applyNumberFormat="1" applyFont="1" applyFill="1" applyBorder="1" applyAlignment="1">
      <alignment wrapText="1"/>
    </xf>
    <xf numFmtId="0" fontId="7" fillId="5" borderId="1" xfId="0" applyFont="1" applyFill="1" applyBorder="1"/>
    <xf numFmtId="164" fontId="7" fillId="5" borderId="1" xfId="1" applyNumberFormat="1" applyFont="1" applyFill="1" applyBorder="1"/>
    <xf numFmtId="43" fontId="7" fillId="5" borderId="1" xfId="1" applyFont="1" applyFill="1" applyBorder="1" applyAlignment="1">
      <alignment horizontal="center"/>
    </xf>
    <xf numFmtId="164" fontId="7" fillId="5" borderId="1" xfId="0" applyNumberFormat="1" applyFont="1" applyFill="1" applyBorder="1"/>
    <xf numFmtId="0" fontId="11" fillId="3" borderId="1" xfId="0" applyFont="1" applyFill="1" applyBorder="1"/>
    <xf numFmtId="164" fontId="11" fillId="3" borderId="1" xfId="1" applyNumberFormat="1" applyFont="1" applyFill="1" applyBorder="1"/>
    <xf numFmtId="43" fontId="11" fillId="3" borderId="1" xfId="1" applyFont="1" applyFill="1" applyBorder="1" applyAlignment="1">
      <alignment horizontal="center"/>
    </xf>
    <xf numFmtId="164" fontId="11" fillId="2" borderId="1" xfId="1" applyNumberFormat="1" applyFont="1" applyFill="1" applyBorder="1"/>
    <xf numFmtId="0" fontId="11" fillId="3" borderId="8" xfId="0" applyFont="1" applyFill="1" applyBorder="1" applyAlignment="1">
      <alignment horizontal="center"/>
    </xf>
    <xf numFmtId="164" fontId="11" fillId="4" borderId="1" xfId="1" applyNumberFormat="1" applyFont="1" applyFill="1" applyBorder="1"/>
    <xf numFmtId="0" fontId="1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workbookViewId="0">
      <selection activeCell="Q17" sqref="Q17"/>
    </sheetView>
  </sheetViews>
  <sheetFormatPr defaultRowHeight="15" x14ac:dyDescent="0.25"/>
  <cols>
    <col min="1" max="1" width="13.7109375" customWidth="1"/>
    <col min="2" max="2" width="14.140625" customWidth="1"/>
    <col min="3" max="3" width="18" customWidth="1"/>
    <col min="4" max="4" width="16" bestFit="1" customWidth="1"/>
    <col min="5" max="5" width="14.5703125" bestFit="1" customWidth="1"/>
    <col min="6" max="7" width="16" bestFit="1" customWidth="1"/>
    <col min="8" max="8" width="16.7109375" customWidth="1"/>
    <col min="9" max="9" width="23.5703125" customWidth="1"/>
    <col min="10" max="10" width="20" customWidth="1"/>
    <col min="11" max="11" width="21.42578125" customWidth="1"/>
    <col min="12" max="12" width="12.7109375" bestFit="1" customWidth="1"/>
  </cols>
  <sheetData>
    <row r="1" spans="1:12" x14ac:dyDescent="0.25">
      <c r="I1" s="4"/>
    </row>
    <row r="2" spans="1:12" x14ac:dyDescent="0.25">
      <c r="L2" s="4"/>
    </row>
    <row r="5" spans="1:12" ht="15.75" thickBot="1" x14ac:dyDescent="0.3"/>
    <row r="6" spans="1:12" ht="21.75" thickBot="1" x14ac:dyDescent="0.4">
      <c r="A6" s="11" t="s">
        <v>23</v>
      </c>
      <c r="B6" s="12"/>
      <c r="C6" s="12"/>
      <c r="D6" s="13"/>
      <c r="E6" s="14" t="s">
        <v>24</v>
      </c>
      <c r="F6" s="15"/>
      <c r="G6" s="15"/>
      <c r="H6" s="16"/>
      <c r="I6" s="17"/>
      <c r="J6" s="18" t="s">
        <v>25</v>
      </c>
      <c r="K6" s="18" t="s">
        <v>26</v>
      </c>
    </row>
    <row r="7" spans="1:12" ht="24" thickBot="1" x14ac:dyDescent="0.4">
      <c r="A7" s="19" t="s">
        <v>27</v>
      </c>
      <c r="B7" s="20"/>
      <c r="C7" s="20"/>
      <c r="D7" s="21"/>
      <c r="E7" s="22"/>
      <c r="F7" s="23"/>
      <c r="G7" s="23"/>
      <c r="H7" s="23"/>
      <c r="I7" s="23"/>
      <c r="J7" s="23"/>
      <c r="K7" s="23"/>
    </row>
    <row r="8" spans="1:12" ht="45" x14ac:dyDescent="0.25">
      <c r="A8" s="24" t="s">
        <v>28</v>
      </c>
      <c r="B8" s="24" t="s">
        <v>3</v>
      </c>
      <c r="C8" s="24" t="s">
        <v>29</v>
      </c>
      <c r="D8" s="24" t="s">
        <v>30</v>
      </c>
      <c r="E8" s="25" t="s">
        <v>31</v>
      </c>
      <c r="F8" s="25" t="s">
        <v>32</v>
      </c>
      <c r="G8" s="26" t="s">
        <v>33</v>
      </c>
      <c r="H8" s="27" t="s">
        <v>34</v>
      </c>
      <c r="I8" s="25" t="s">
        <v>35</v>
      </c>
      <c r="J8" s="26" t="s">
        <v>36</v>
      </c>
      <c r="K8" s="28" t="s">
        <v>37</v>
      </c>
    </row>
    <row r="9" spans="1:12" x14ac:dyDescent="0.25">
      <c r="A9" s="29" t="s">
        <v>38</v>
      </c>
      <c r="B9" s="30">
        <f>146206+30094</f>
        <v>176300</v>
      </c>
      <c r="C9" s="31">
        <v>8</v>
      </c>
      <c r="D9" s="32">
        <f>C9*B9</f>
        <v>1410400</v>
      </c>
      <c r="E9" s="33">
        <f t="shared" ref="E9:E20" si="0">D9*15%</f>
        <v>211560</v>
      </c>
      <c r="F9" s="32">
        <f t="shared" ref="F9:F20" si="1">D9-E9</f>
        <v>1198840</v>
      </c>
      <c r="G9" s="32">
        <v>1198840</v>
      </c>
      <c r="H9" s="32">
        <f>F9-G9</f>
        <v>0</v>
      </c>
      <c r="I9" s="34" t="s">
        <v>39</v>
      </c>
      <c r="J9" s="35"/>
      <c r="K9" s="28"/>
    </row>
    <row r="10" spans="1:12" x14ac:dyDescent="0.25">
      <c r="A10" s="36" t="s">
        <v>40</v>
      </c>
      <c r="B10" s="37">
        <v>666420</v>
      </c>
      <c r="C10" s="38">
        <v>6</v>
      </c>
      <c r="D10" s="37">
        <f t="shared" ref="D10:D35" si="2">C10*B10</f>
        <v>3998520</v>
      </c>
      <c r="E10" s="39">
        <f t="shared" si="0"/>
        <v>599778</v>
      </c>
      <c r="F10" s="37">
        <f t="shared" si="1"/>
        <v>3398742</v>
      </c>
      <c r="G10" s="32">
        <v>3398742</v>
      </c>
      <c r="H10" s="32">
        <f>F10-G10</f>
        <v>0</v>
      </c>
      <c r="I10" s="40" t="s">
        <v>41</v>
      </c>
      <c r="J10" s="35"/>
      <c r="K10" s="28"/>
    </row>
    <row r="11" spans="1:12" x14ac:dyDescent="0.25">
      <c r="A11" s="36" t="s">
        <v>42</v>
      </c>
      <c r="B11" s="37">
        <v>1600298</v>
      </c>
      <c r="C11" s="38">
        <v>3.5</v>
      </c>
      <c r="D11" s="37">
        <f t="shared" si="2"/>
        <v>5601043</v>
      </c>
      <c r="E11" s="39">
        <f t="shared" si="0"/>
        <v>840156.45</v>
      </c>
      <c r="F11" s="37">
        <f>D11-E11</f>
        <v>4760886.55</v>
      </c>
      <c r="G11" s="32">
        <v>4760887</v>
      </c>
      <c r="H11" s="32">
        <f>F11-G11</f>
        <v>-0.45000000018626451</v>
      </c>
      <c r="I11" s="41" t="s">
        <v>43</v>
      </c>
      <c r="J11" s="35"/>
      <c r="K11" s="28"/>
    </row>
    <row r="12" spans="1:12" x14ac:dyDescent="0.25">
      <c r="A12" s="42" t="s">
        <v>44</v>
      </c>
      <c r="B12" s="32">
        <v>1311530</v>
      </c>
      <c r="C12" s="31">
        <v>1.25</v>
      </c>
      <c r="D12" s="32">
        <f>C12*B12</f>
        <v>1639412.5</v>
      </c>
      <c r="E12" s="33">
        <f>D12*15%</f>
        <v>245911.875</v>
      </c>
      <c r="F12" s="32">
        <f>D12-E12</f>
        <v>1393500.625</v>
      </c>
      <c r="G12" s="32">
        <v>1393501</v>
      </c>
      <c r="H12" s="32">
        <f t="shared" ref="H12:H45" si="3">F12-G12</f>
        <v>-0.375</v>
      </c>
      <c r="I12" s="43" t="s">
        <v>43</v>
      </c>
      <c r="J12" s="35"/>
      <c r="K12" s="28"/>
    </row>
    <row r="13" spans="1:12" x14ac:dyDescent="0.25">
      <c r="A13" s="36" t="s">
        <v>45</v>
      </c>
      <c r="B13" s="37">
        <v>625687</v>
      </c>
      <c r="C13" s="38">
        <v>2.5</v>
      </c>
      <c r="D13" s="37">
        <f t="shared" si="2"/>
        <v>1564217.5</v>
      </c>
      <c r="E13" s="44">
        <f t="shared" si="0"/>
        <v>234632.625</v>
      </c>
      <c r="F13" s="37">
        <f t="shared" si="1"/>
        <v>1329584.875</v>
      </c>
      <c r="G13" s="32">
        <v>1329585</v>
      </c>
      <c r="H13" s="32">
        <f>F13-G13</f>
        <v>-0.125</v>
      </c>
      <c r="I13" s="41" t="s">
        <v>46</v>
      </c>
      <c r="J13" s="35"/>
      <c r="K13" s="28"/>
    </row>
    <row r="14" spans="1:12" x14ac:dyDescent="0.25">
      <c r="A14" s="36" t="s">
        <v>47</v>
      </c>
      <c r="B14" s="37">
        <f>362505</f>
        <v>362505</v>
      </c>
      <c r="C14" s="38">
        <v>9</v>
      </c>
      <c r="D14" s="37">
        <f>C14*B14</f>
        <v>3262545</v>
      </c>
      <c r="E14" s="39">
        <f>D14*15%</f>
        <v>489381.75</v>
      </c>
      <c r="F14" s="37">
        <f>D14-E14</f>
        <v>2773163.25</v>
      </c>
      <c r="G14" s="32">
        <v>2735089</v>
      </c>
      <c r="H14" s="32">
        <f t="shared" si="3"/>
        <v>38074.25</v>
      </c>
      <c r="I14" s="45" t="s">
        <v>48</v>
      </c>
      <c r="J14" s="35"/>
      <c r="K14" s="28"/>
    </row>
    <row r="15" spans="1:12" x14ac:dyDescent="0.25">
      <c r="A15" s="36" t="s">
        <v>49</v>
      </c>
      <c r="B15" s="37">
        <v>821</v>
      </c>
      <c r="C15" s="38">
        <v>0</v>
      </c>
      <c r="D15" s="37">
        <f>C15*B15</f>
        <v>0</v>
      </c>
      <c r="E15" s="44">
        <f>D15*7.5%</f>
        <v>0</v>
      </c>
      <c r="F15" s="37">
        <f>D15-E15</f>
        <v>0</v>
      </c>
      <c r="G15" s="32"/>
      <c r="H15" s="32">
        <f t="shared" si="3"/>
        <v>0</v>
      </c>
      <c r="I15" s="46"/>
      <c r="J15" s="47"/>
      <c r="K15" s="28"/>
    </row>
    <row r="16" spans="1:12" x14ac:dyDescent="0.25">
      <c r="A16" s="36" t="s">
        <v>50</v>
      </c>
      <c r="B16" s="37">
        <v>138635</v>
      </c>
      <c r="C16" s="38">
        <v>0</v>
      </c>
      <c r="D16" s="37">
        <f t="shared" si="2"/>
        <v>0</v>
      </c>
      <c r="E16" s="44">
        <f t="shared" si="0"/>
        <v>0</v>
      </c>
      <c r="F16" s="37">
        <f t="shared" si="1"/>
        <v>0</v>
      </c>
      <c r="G16" s="32"/>
      <c r="H16" s="32">
        <f t="shared" si="3"/>
        <v>0</v>
      </c>
      <c r="I16" s="46"/>
      <c r="J16" s="47"/>
      <c r="K16" s="48"/>
    </row>
    <row r="17" spans="1:11" x14ac:dyDescent="0.25">
      <c r="A17" s="36" t="s">
        <v>51</v>
      </c>
      <c r="B17" s="37">
        <v>5000</v>
      </c>
      <c r="C17" s="38">
        <v>0</v>
      </c>
      <c r="D17" s="37">
        <v>0</v>
      </c>
      <c r="E17" s="44">
        <v>0</v>
      </c>
      <c r="F17" s="37">
        <f t="shared" si="1"/>
        <v>0</v>
      </c>
      <c r="G17" s="32">
        <v>0</v>
      </c>
      <c r="H17" s="32">
        <f t="shared" si="3"/>
        <v>0</v>
      </c>
      <c r="I17" s="49"/>
      <c r="J17" s="47"/>
      <c r="K17" s="48"/>
    </row>
    <row r="18" spans="1:11" x14ac:dyDescent="0.25">
      <c r="A18" s="50" t="s">
        <v>52</v>
      </c>
      <c r="B18" s="51">
        <v>583091</v>
      </c>
      <c r="C18" s="52">
        <v>8.5</v>
      </c>
      <c r="D18" s="51">
        <f t="shared" si="2"/>
        <v>4956273.5</v>
      </c>
      <c r="E18" s="53">
        <f>D18*15%</f>
        <v>743441.02500000002</v>
      </c>
      <c r="F18" s="51">
        <f>D18-E18</f>
        <v>4212832.4749999996</v>
      </c>
      <c r="G18" s="32">
        <v>4212832</v>
      </c>
      <c r="H18" s="32">
        <f t="shared" si="3"/>
        <v>0.47499999962747097</v>
      </c>
      <c r="I18" s="45" t="s">
        <v>53</v>
      </c>
      <c r="J18" s="35"/>
      <c r="K18" s="28"/>
    </row>
    <row r="19" spans="1:11" x14ac:dyDescent="0.25">
      <c r="A19" s="36" t="s">
        <v>54</v>
      </c>
      <c r="B19" s="37">
        <v>436625</v>
      </c>
      <c r="C19" s="38"/>
      <c r="D19" s="37">
        <f t="shared" si="2"/>
        <v>0</v>
      </c>
      <c r="E19" s="44">
        <f t="shared" si="0"/>
        <v>0</v>
      </c>
      <c r="F19" s="37">
        <f t="shared" si="1"/>
        <v>0</v>
      </c>
      <c r="G19" s="32"/>
      <c r="H19" s="32">
        <f t="shared" si="3"/>
        <v>0</v>
      </c>
      <c r="I19" s="46"/>
      <c r="J19" s="47"/>
      <c r="K19" s="28"/>
    </row>
    <row r="20" spans="1:11" x14ac:dyDescent="0.25">
      <c r="A20" s="36" t="s">
        <v>55</v>
      </c>
      <c r="B20" s="37">
        <v>204610</v>
      </c>
      <c r="C20" s="38"/>
      <c r="D20" s="37">
        <f t="shared" si="2"/>
        <v>0</v>
      </c>
      <c r="E20" s="44">
        <f t="shared" si="0"/>
        <v>0</v>
      </c>
      <c r="F20" s="37">
        <f t="shared" si="1"/>
        <v>0</v>
      </c>
      <c r="G20" s="32"/>
      <c r="H20" s="32">
        <f t="shared" si="3"/>
        <v>0</v>
      </c>
      <c r="I20" s="46"/>
      <c r="J20" s="47"/>
      <c r="K20" s="48"/>
    </row>
    <row r="21" spans="1:11" x14ac:dyDescent="0.25">
      <c r="A21" s="36" t="s">
        <v>56</v>
      </c>
      <c r="B21" s="37">
        <v>166000</v>
      </c>
      <c r="C21" s="38"/>
      <c r="D21" s="37">
        <v>0</v>
      </c>
      <c r="E21" s="44">
        <v>0</v>
      </c>
      <c r="F21" s="37">
        <v>0</v>
      </c>
      <c r="G21" s="32"/>
      <c r="H21" s="32">
        <f t="shared" si="3"/>
        <v>0</v>
      </c>
      <c r="I21" s="45"/>
      <c r="J21" s="54"/>
      <c r="K21" s="48"/>
    </row>
    <row r="22" spans="1:11" x14ac:dyDescent="0.25">
      <c r="A22" s="36" t="s">
        <v>57</v>
      </c>
      <c r="B22" s="37">
        <v>100</v>
      </c>
      <c r="C22" s="38"/>
      <c r="D22" s="37">
        <v>0</v>
      </c>
      <c r="E22" s="44"/>
      <c r="F22" s="37">
        <v>0</v>
      </c>
      <c r="G22" s="32"/>
      <c r="H22" s="32">
        <f t="shared" si="3"/>
        <v>0</v>
      </c>
      <c r="I22" s="45"/>
      <c r="J22" s="54"/>
      <c r="K22" s="48"/>
    </row>
    <row r="23" spans="1:11" x14ac:dyDescent="0.25">
      <c r="A23" s="36" t="s">
        <v>58</v>
      </c>
      <c r="B23" s="37">
        <v>23655</v>
      </c>
      <c r="C23" s="38"/>
      <c r="D23" s="37">
        <f t="shared" si="2"/>
        <v>0</v>
      </c>
      <c r="E23" s="44">
        <f t="shared" ref="E23" si="4">D23*15%</f>
        <v>0</v>
      </c>
      <c r="F23" s="37">
        <f t="shared" ref="F23" si="5">D23-E23</f>
        <v>0</v>
      </c>
      <c r="G23" s="32"/>
      <c r="H23" s="32">
        <f t="shared" si="3"/>
        <v>0</v>
      </c>
      <c r="I23" s="45"/>
      <c r="J23" s="54"/>
      <c r="K23" s="28"/>
    </row>
    <row r="24" spans="1:11" x14ac:dyDescent="0.25">
      <c r="A24" s="36" t="s">
        <v>59</v>
      </c>
      <c r="B24" s="37">
        <v>500</v>
      </c>
      <c r="C24" s="38"/>
      <c r="D24" s="37">
        <v>0</v>
      </c>
      <c r="E24" s="44"/>
      <c r="F24" s="37">
        <v>0</v>
      </c>
      <c r="G24" s="32"/>
      <c r="H24" s="32">
        <f t="shared" si="3"/>
        <v>0</v>
      </c>
      <c r="I24" s="45"/>
      <c r="J24" s="54"/>
      <c r="K24" s="48"/>
    </row>
    <row r="25" spans="1:11" x14ac:dyDescent="0.25">
      <c r="A25" s="36" t="s">
        <v>60</v>
      </c>
      <c r="B25" s="37">
        <v>23062</v>
      </c>
      <c r="C25" s="38">
        <v>17.5</v>
      </c>
      <c r="D25" s="51">
        <f t="shared" si="2"/>
        <v>403585</v>
      </c>
      <c r="E25" s="53">
        <f>D25*15%</f>
        <v>60537.75</v>
      </c>
      <c r="F25" s="51">
        <f>D25-E25</f>
        <v>343047.25</v>
      </c>
      <c r="G25" s="32">
        <v>343047</v>
      </c>
      <c r="H25" s="32">
        <f>F25-G25</f>
        <v>0.25</v>
      </c>
      <c r="I25" s="45"/>
      <c r="J25" s="54"/>
      <c r="K25" s="48"/>
    </row>
    <row r="26" spans="1:11" x14ac:dyDescent="0.25">
      <c r="A26" s="36" t="s">
        <v>61</v>
      </c>
      <c r="B26" s="37">
        <v>30909</v>
      </c>
      <c r="C26" s="38">
        <v>1.5</v>
      </c>
      <c r="D26" s="37">
        <f t="shared" si="2"/>
        <v>46363.5</v>
      </c>
      <c r="E26" s="44">
        <f>D26*7.5%</f>
        <v>3477.2624999999998</v>
      </c>
      <c r="F26" s="37">
        <f>D26-E26</f>
        <v>42886.237500000003</v>
      </c>
      <c r="G26" s="32"/>
      <c r="H26" s="32">
        <f t="shared" si="3"/>
        <v>42886.237500000003</v>
      </c>
      <c r="I26" s="45" t="s">
        <v>62</v>
      </c>
      <c r="J26" s="54"/>
      <c r="K26" s="28"/>
    </row>
    <row r="27" spans="1:11" x14ac:dyDescent="0.25">
      <c r="A27" s="36" t="s">
        <v>63</v>
      </c>
      <c r="B27" s="37">
        <v>100</v>
      </c>
      <c r="C27" s="38"/>
      <c r="D27" s="37">
        <f t="shared" si="2"/>
        <v>0</v>
      </c>
      <c r="E27" s="44">
        <f>D27*15%</f>
        <v>0</v>
      </c>
      <c r="F27" s="37">
        <f t="shared" ref="F27" si="6">D27-E27</f>
        <v>0</v>
      </c>
      <c r="G27" s="32"/>
      <c r="H27" s="32">
        <f t="shared" si="3"/>
        <v>0</v>
      </c>
      <c r="I27" s="45"/>
      <c r="J27" s="54"/>
      <c r="K27" s="48"/>
    </row>
    <row r="28" spans="1:11" x14ac:dyDescent="0.25">
      <c r="A28" s="36" t="s">
        <v>64</v>
      </c>
      <c r="B28" s="37">
        <v>449000</v>
      </c>
      <c r="C28" s="38">
        <v>2</v>
      </c>
      <c r="D28" s="37">
        <f>C28*B28</f>
        <v>898000</v>
      </c>
      <c r="E28" s="44">
        <f>D28*15%</f>
        <v>134700</v>
      </c>
      <c r="F28" s="37">
        <f>D28-E28</f>
        <v>763300</v>
      </c>
      <c r="G28" s="32">
        <v>763300</v>
      </c>
      <c r="H28" s="32">
        <f t="shared" si="3"/>
        <v>0</v>
      </c>
      <c r="I28" s="46" t="s">
        <v>62</v>
      </c>
      <c r="J28" s="47"/>
      <c r="K28" s="28"/>
    </row>
    <row r="29" spans="1:11" x14ac:dyDescent="0.25">
      <c r="A29" s="36" t="s">
        <v>65</v>
      </c>
      <c r="B29" s="37">
        <v>80383</v>
      </c>
      <c r="C29" s="38">
        <v>7.5</v>
      </c>
      <c r="D29" s="37">
        <f>C29*B29</f>
        <v>602872.5</v>
      </c>
      <c r="E29" s="44">
        <f>D29*15%</f>
        <v>90430.875</v>
      </c>
      <c r="F29" s="37">
        <f>D29-E29</f>
        <v>512441.625</v>
      </c>
      <c r="G29" s="32">
        <v>512442</v>
      </c>
      <c r="H29" s="32">
        <f t="shared" si="3"/>
        <v>-0.375</v>
      </c>
      <c r="I29" s="49" t="s">
        <v>43</v>
      </c>
      <c r="J29" s="47"/>
      <c r="K29" s="28"/>
    </row>
    <row r="30" spans="1:11" x14ac:dyDescent="0.25">
      <c r="A30" s="36" t="s">
        <v>66</v>
      </c>
      <c r="B30" s="37">
        <v>7877</v>
      </c>
      <c r="C30" s="38"/>
      <c r="D30" s="37">
        <v>0</v>
      </c>
      <c r="E30" s="44">
        <v>0</v>
      </c>
      <c r="F30" s="37">
        <v>0</v>
      </c>
      <c r="G30" s="32"/>
      <c r="H30" s="32">
        <f t="shared" si="3"/>
        <v>0</v>
      </c>
      <c r="I30" s="49"/>
      <c r="J30" s="47"/>
      <c r="K30" s="28"/>
    </row>
    <row r="31" spans="1:11" x14ac:dyDescent="0.25">
      <c r="A31" s="55" t="s">
        <v>67</v>
      </c>
      <c r="B31" s="56">
        <v>33295</v>
      </c>
      <c r="C31" s="57">
        <v>10</v>
      </c>
      <c r="D31" s="56">
        <f>C31*B31</f>
        <v>332950</v>
      </c>
      <c r="E31" s="58">
        <f>D31*15%</f>
        <v>49942.5</v>
      </c>
      <c r="F31" s="56">
        <f>D31-E31</f>
        <v>283007.5</v>
      </c>
      <c r="G31" s="32">
        <v>298422</v>
      </c>
      <c r="H31" s="32">
        <f t="shared" si="3"/>
        <v>-15414.5</v>
      </c>
      <c r="I31" s="45" t="s">
        <v>43</v>
      </c>
      <c r="J31" s="54"/>
      <c r="K31" s="28"/>
    </row>
    <row r="32" spans="1:11" x14ac:dyDescent="0.25">
      <c r="A32" s="55" t="s">
        <v>68</v>
      </c>
      <c r="B32" s="56">
        <v>250000</v>
      </c>
      <c r="C32" s="57"/>
      <c r="D32" s="56">
        <f>C32*B32</f>
        <v>0</v>
      </c>
      <c r="E32" s="58"/>
      <c r="F32" s="56"/>
      <c r="G32" s="32"/>
      <c r="H32" s="32"/>
      <c r="I32" s="45"/>
      <c r="J32" s="54"/>
      <c r="K32" s="28"/>
    </row>
    <row r="33" spans="1:11" x14ac:dyDescent="0.25">
      <c r="A33" s="55" t="s">
        <v>69</v>
      </c>
      <c r="B33" s="56">
        <v>110000</v>
      </c>
      <c r="C33" s="57"/>
      <c r="D33" s="56">
        <f>C33*B33</f>
        <v>0</v>
      </c>
      <c r="E33" s="58"/>
      <c r="F33" s="56"/>
      <c r="G33" s="32"/>
      <c r="H33" s="32"/>
      <c r="I33" s="45"/>
      <c r="J33" s="54"/>
      <c r="K33" s="28"/>
    </row>
    <row r="34" spans="1:11" x14ac:dyDescent="0.25">
      <c r="A34" s="36" t="s">
        <v>70</v>
      </c>
      <c r="B34" s="37">
        <v>14000</v>
      </c>
      <c r="C34" s="38"/>
      <c r="D34" s="37">
        <f t="shared" si="2"/>
        <v>0</v>
      </c>
      <c r="E34" s="44">
        <f>D34*15%</f>
        <v>0</v>
      </c>
      <c r="F34" s="37">
        <f t="shared" ref="F34" si="7">D34-E34</f>
        <v>0</v>
      </c>
      <c r="G34" s="32"/>
      <c r="H34" s="32">
        <f t="shared" si="3"/>
        <v>0</v>
      </c>
      <c r="I34" s="45"/>
      <c r="J34" s="54"/>
      <c r="K34" s="28"/>
    </row>
    <row r="35" spans="1:11" x14ac:dyDescent="0.25">
      <c r="A35" s="36" t="s">
        <v>71</v>
      </c>
      <c r="B35" s="37">
        <v>39088</v>
      </c>
      <c r="C35" s="38"/>
      <c r="D35" s="37">
        <f t="shared" si="2"/>
        <v>0</v>
      </c>
      <c r="E35" s="58">
        <f>D35*15%</f>
        <v>0</v>
      </c>
      <c r="F35" s="56">
        <f>D35-E35</f>
        <v>0</v>
      </c>
      <c r="G35" s="32"/>
      <c r="H35" s="32">
        <f t="shared" si="3"/>
        <v>0</v>
      </c>
      <c r="I35" s="45"/>
      <c r="J35" s="54"/>
      <c r="K35" s="28"/>
    </row>
    <row r="36" spans="1:11" x14ac:dyDescent="0.25">
      <c r="A36" s="36" t="s">
        <v>72</v>
      </c>
      <c r="B36" s="37">
        <v>17857</v>
      </c>
      <c r="C36" s="38"/>
      <c r="D36" s="37">
        <v>0</v>
      </c>
      <c r="E36" s="44">
        <v>0</v>
      </c>
      <c r="F36" s="37">
        <v>0</v>
      </c>
      <c r="G36" s="32"/>
      <c r="H36" s="32">
        <f t="shared" si="3"/>
        <v>0</v>
      </c>
      <c r="I36" s="45"/>
      <c r="J36" s="54"/>
      <c r="K36" s="28"/>
    </row>
    <row r="37" spans="1:11" x14ac:dyDescent="0.25">
      <c r="A37" s="36" t="s">
        <v>73</v>
      </c>
      <c r="B37" s="37">
        <v>201936</v>
      </c>
      <c r="C37" s="38"/>
      <c r="D37" s="37"/>
      <c r="E37" s="44"/>
      <c r="F37" s="37"/>
      <c r="G37" s="32"/>
      <c r="H37" s="32">
        <f t="shared" si="3"/>
        <v>0</v>
      </c>
      <c r="I37" s="45"/>
      <c r="J37" s="54"/>
      <c r="K37" s="28"/>
    </row>
    <row r="38" spans="1:11" x14ac:dyDescent="0.25">
      <c r="A38" s="36" t="s">
        <v>74</v>
      </c>
      <c r="B38" s="37">
        <v>101000</v>
      </c>
      <c r="C38" s="38"/>
      <c r="D38" s="37"/>
      <c r="E38" s="44"/>
      <c r="F38" s="37"/>
      <c r="G38" s="32"/>
      <c r="H38" s="32"/>
      <c r="I38" s="45"/>
      <c r="J38" s="54"/>
      <c r="K38" s="28"/>
    </row>
    <row r="39" spans="1:11" x14ac:dyDescent="0.25">
      <c r="A39" s="36" t="s">
        <v>75</v>
      </c>
      <c r="B39" s="37">
        <v>24000</v>
      </c>
      <c r="C39" s="38"/>
      <c r="D39" s="37"/>
      <c r="E39" s="44"/>
      <c r="F39" s="37"/>
      <c r="G39" s="32"/>
      <c r="H39" s="32"/>
      <c r="I39" s="45"/>
      <c r="J39" s="54"/>
      <c r="K39" s="28"/>
    </row>
    <row r="40" spans="1:11" x14ac:dyDescent="0.25">
      <c r="A40" s="36" t="s">
        <v>76</v>
      </c>
      <c r="B40" s="37">
        <v>12125</v>
      </c>
      <c r="C40" s="38"/>
      <c r="D40" s="37"/>
      <c r="E40" s="44"/>
      <c r="F40" s="37"/>
      <c r="G40" s="32"/>
      <c r="H40" s="32"/>
      <c r="I40" s="45"/>
      <c r="J40" s="54"/>
      <c r="K40" s="28"/>
    </row>
    <row r="41" spans="1:11" x14ac:dyDescent="0.25">
      <c r="A41" s="36" t="s">
        <v>77</v>
      </c>
      <c r="B41" s="37">
        <v>123472</v>
      </c>
      <c r="C41" s="38"/>
      <c r="D41" s="37"/>
      <c r="E41" s="44"/>
      <c r="F41" s="37"/>
      <c r="G41" s="32"/>
      <c r="H41" s="32"/>
      <c r="I41" s="45"/>
      <c r="J41" s="54"/>
      <c r="K41" s="28"/>
    </row>
    <row r="42" spans="1:11" x14ac:dyDescent="0.25">
      <c r="A42" s="36" t="s">
        <v>78</v>
      </c>
      <c r="B42" s="37">
        <v>19829</v>
      </c>
      <c r="C42" s="38"/>
      <c r="D42" s="37"/>
      <c r="E42" s="44"/>
      <c r="F42" s="37"/>
      <c r="G42" s="32"/>
      <c r="H42" s="32"/>
      <c r="I42" s="45"/>
      <c r="J42" s="54"/>
      <c r="K42" s="28"/>
    </row>
    <row r="43" spans="1:11" x14ac:dyDescent="0.25">
      <c r="A43" s="36" t="s">
        <v>79</v>
      </c>
      <c r="B43" s="37">
        <v>17000</v>
      </c>
      <c r="C43" s="38"/>
      <c r="D43" s="37"/>
      <c r="E43" s="44"/>
      <c r="F43" s="37"/>
      <c r="G43" s="32"/>
      <c r="H43" s="32"/>
      <c r="I43" s="45"/>
      <c r="J43" s="54"/>
      <c r="K43" s="28"/>
    </row>
    <row r="44" spans="1:11" x14ac:dyDescent="0.25">
      <c r="A44" s="37" t="s">
        <v>80</v>
      </c>
      <c r="B44" s="37">
        <v>20000</v>
      </c>
      <c r="C44" s="38"/>
      <c r="D44" s="37"/>
      <c r="E44" s="44"/>
      <c r="F44" s="37"/>
      <c r="G44" s="32"/>
      <c r="H44" s="32"/>
      <c r="I44" s="45"/>
      <c r="J44" s="54"/>
      <c r="K44" s="28"/>
    </row>
    <row r="45" spans="1:11" x14ac:dyDescent="0.25">
      <c r="A45" s="36" t="s">
        <v>81</v>
      </c>
      <c r="B45" s="37">
        <v>21358</v>
      </c>
      <c r="C45" s="38">
        <v>1.5</v>
      </c>
      <c r="D45" s="56">
        <f>C45*B45</f>
        <v>32037</v>
      </c>
      <c r="E45" s="58">
        <f>D45*7.5%</f>
        <v>2402.7750000000001</v>
      </c>
      <c r="F45" s="56">
        <f>D45-E45</f>
        <v>29634.224999999999</v>
      </c>
      <c r="G45" s="32"/>
      <c r="H45" s="32">
        <f t="shared" si="3"/>
        <v>29634.224999999999</v>
      </c>
      <c r="I45" s="45" t="s">
        <v>62</v>
      </c>
      <c r="J45" s="54"/>
      <c r="K45" s="28"/>
    </row>
    <row r="46" spans="1:11" ht="18.75" x14ac:dyDescent="0.3">
      <c r="A46" s="59" t="s">
        <v>82</v>
      </c>
      <c r="B46" s="60">
        <f>SUM(B9:B45)</f>
        <v>7898068</v>
      </c>
      <c r="C46" s="61"/>
      <c r="D46" s="60">
        <f>SUM(D9:D45)</f>
        <v>24748219.5</v>
      </c>
      <c r="E46" s="60">
        <f>SUM(E9:E45)</f>
        <v>3706352.8875000002</v>
      </c>
      <c r="F46" s="60">
        <f>SUM(F9:F45)</f>
        <v>21041866.612500001</v>
      </c>
      <c r="G46" s="60">
        <f>SUM(G9:G34)</f>
        <v>20946687</v>
      </c>
      <c r="H46" s="62">
        <f>SUM(H9:H45)</f>
        <v>95179.612499999435</v>
      </c>
      <c r="I46" s="63"/>
      <c r="J46" s="64"/>
      <c r="K46" s="65"/>
    </row>
  </sheetData>
  <mergeCells count="3">
    <mergeCell ref="A6:D6"/>
    <mergeCell ref="E6:H6"/>
    <mergeCell ref="A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I22" sqref="I22"/>
    </sheetView>
  </sheetViews>
  <sheetFormatPr defaultRowHeight="15" x14ac:dyDescent="0.25"/>
  <cols>
    <col min="1" max="1" width="13.7109375" customWidth="1"/>
    <col min="2" max="2" width="14.140625" customWidth="1"/>
    <col min="3" max="3" width="18" customWidth="1"/>
    <col min="4" max="4" width="14" customWidth="1"/>
    <col min="5" max="5" width="9.28515625" customWidth="1"/>
    <col min="6" max="6" width="14.28515625" bestFit="1" customWidth="1"/>
    <col min="7" max="7" width="14.28515625" customWidth="1"/>
    <col min="8" max="8" width="16.7109375" customWidth="1"/>
    <col min="9" max="9" width="23.5703125" customWidth="1"/>
    <col min="10" max="10" width="20" customWidth="1"/>
    <col min="11" max="11" width="21.42578125" customWidth="1"/>
    <col min="12" max="12" width="12.7109375" bestFit="1" customWidth="1"/>
  </cols>
  <sheetData>
    <row r="1" spans="1:13" ht="21" x14ac:dyDescent="0.35">
      <c r="A1" s="5" t="s">
        <v>0</v>
      </c>
    </row>
    <row r="3" spans="1:13" x14ac:dyDescent="0.25">
      <c r="A3" s="6" t="s">
        <v>14</v>
      </c>
      <c r="B3" s="6" t="s">
        <v>2</v>
      </c>
      <c r="C3" s="6" t="s">
        <v>15</v>
      </c>
      <c r="D3" s="6" t="s">
        <v>3</v>
      </c>
      <c r="E3" s="6" t="s">
        <v>4</v>
      </c>
      <c r="F3" s="6" t="s">
        <v>16</v>
      </c>
      <c r="G3" s="6" t="s">
        <v>13</v>
      </c>
      <c r="H3" s="6" t="s">
        <v>5</v>
      </c>
      <c r="I3" s="6" t="s">
        <v>6</v>
      </c>
      <c r="J3" s="9" t="s">
        <v>19</v>
      </c>
      <c r="K3" s="9" t="s">
        <v>18</v>
      </c>
      <c r="L3" s="6" t="s">
        <v>12</v>
      </c>
      <c r="M3" s="9" t="s">
        <v>20</v>
      </c>
    </row>
    <row r="4" spans="1:13" x14ac:dyDescent="0.25">
      <c r="A4" t="s">
        <v>1</v>
      </c>
      <c r="B4" t="s">
        <v>8</v>
      </c>
      <c r="C4" t="s">
        <v>9</v>
      </c>
      <c r="D4" s="2">
        <v>117924</v>
      </c>
      <c r="E4" s="3">
        <v>19.95</v>
      </c>
      <c r="F4" s="2">
        <v>30000000</v>
      </c>
      <c r="G4" s="2">
        <f>F4/E4</f>
        <v>1503759.3984962406</v>
      </c>
      <c r="H4" s="3">
        <f>D4</f>
        <v>117924</v>
      </c>
      <c r="I4" s="3">
        <f>E4*H4</f>
        <v>2352583.7999999998</v>
      </c>
      <c r="J4" s="4">
        <f>F4-I4</f>
        <v>27647416.199999999</v>
      </c>
      <c r="K4" s="1">
        <v>-27479377.350000001</v>
      </c>
      <c r="L4" s="8">
        <f>K4+J4</f>
        <v>168038.84999999776</v>
      </c>
      <c r="M4" t="s">
        <v>21</v>
      </c>
    </row>
    <row r="5" spans="1:13" x14ac:dyDescent="0.25">
      <c r="D5" s="2"/>
      <c r="E5" s="3"/>
      <c r="F5" s="2"/>
      <c r="G5" s="2"/>
      <c r="H5" s="3"/>
      <c r="I5" s="3"/>
    </row>
    <row r="6" spans="1:13" x14ac:dyDescent="0.25">
      <c r="A6" t="s">
        <v>7</v>
      </c>
      <c r="B6" t="s">
        <v>10</v>
      </c>
      <c r="C6" t="s">
        <v>11</v>
      </c>
      <c r="D6" s="2">
        <v>157311</v>
      </c>
      <c r="E6" s="3">
        <v>19.95</v>
      </c>
      <c r="F6" s="2">
        <v>40000000</v>
      </c>
      <c r="G6" s="2">
        <f>F6/E6</f>
        <v>2005012.531328321</v>
      </c>
      <c r="H6" s="3">
        <f>D6</f>
        <v>157311</v>
      </c>
      <c r="I6" s="3">
        <f>E6*H6</f>
        <v>3138354.4499999997</v>
      </c>
      <c r="J6" s="4">
        <f>F6-I6</f>
        <v>36861645.549999997</v>
      </c>
      <c r="K6" s="1">
        <v>-36637467.399999999</v>
      </c>
      <c r="L6" s="8">
        <f>K6+J6</f>
        <v>224178.14999999851</v>
      </c>
      <c r="M6" t="s">
        <v>21</v>
      </c>
    </row>
    <row r="7" spans="1:13" x14ac:dyDescent="0.25">
      <c r="D7" s="2"/>
      <c r="E7" s="3"/>
      <c r="F7" s="2"/>
      <c r="G7" s="2"/>
      <c r="H7" s="3"/>
      <c r="I7" s="3"/>
    </row>
    <row r="8" spans="1:13" x14ac:dyDescent="0.25">
      <c r="E8" s="4"/>
      <c r="F8" s="4"/>
      <c r="G8" s="4"/>
      <c r="H8" s="4"/>
      <c r="I8" s="4"/>
    </row>
    <row r="9" spans="1:13" ht="15.75" x14ac:dyDescent="0.25">
      <c r="I9" s="1"/>
      <c r="J9" s="10" t="s">
        <v>17</v>
      </c>
      <c r="K9" s="10"/>
      <c r="L9" s="7" t="s">
        <v>22</v>
      </c>
    </row>
    <row r="10" spans="1:13" x14ac:dyDescent="0.25">
      <c r="I10" s="1"/>
    </row>
    <row r="12" spans="1:13" x14ac:dyDescent="0.25">
      <c r="I12" s="4"/>
    </row>
    <row r="13" spans="1:13" x14ac:dyDescent="0.25">
      <c r="L13" s="4"/>
    </row>
  </sheetData>
  <mergeCells count="1">
    <mergeCell ref="J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2026-06-15T06:34:31Z</dcterms:created>
  <dcterms:modified xsi:type="dcterms:W3CDTF">2026-06-24T11:25:32Z</dcterms:modified>
</cp:coreProperties>
</file>